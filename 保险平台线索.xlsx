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10" yWindow="500" windowWidth="17950" windowHeight="6720"/>
  </bookViews>
  <sheets>
    <sheet name="Sheet1" sheetId="10" r:id="rId1"/>
  </sheets>
  <externalReferences>
    <externalReference r:id="rId2"/>
  </externalReferences>
  <definedNames>
    <definedName name="_xlnm._FilterDatabase" localSheetId="0" hidden="1">Sheet1!$A$1:$K$1</definedName>
  </definedNames>
  <calcPr calcId="145621"/>
</workbook>
</file>

<file path=xl/calcChain.xml><?xml version="1.0" encoding="utf-8"?>
<calcChain xmlns="http://schemas.openxmlformats.org/spreadsheetml/2006/main">
  <c r="H241" i="10" l="1"/>
  <c r="G241" i="10"/>
  <c r="I241" i="10" s="1"/>
  <c r="K241" i="10" s="1"/>
  <c r="F241" i="10"/>
  <c r="H240" i="10"/>
  <c r="G240" i="10"/>
  <c r="I240" i="10" s="1"/>
  <c r="K240" i="10" s="1"/>
  <c r="F240" i="10"/>
  <c r="H239" i="10"/>
  <c r="G239" i="10"/>
  <c r="I239" i="10" s="1"/>
  <c r="K239" i="10" s="1"/>
  <c r="F239" i="10"/>
  <c r="H238" i="10"/>
  <c r="G238" i="10"/>
  <c r="I238" i="10" s="1"/>
  <c r="K238" i="10" s="1"/>
  <c r="F238" i="10"/>
  <c r="H237" i="10"/>
  <c r="G237" i="10"/>
  <c r="I237" i="10" s="1"/>
  <c r="K237" i="10" s="1"/>
  <c r="F237" i="10"/>
  <c r="H236" i="10"/>
  <c r="G236" i="10"/>
  <c r="I236" i="10" s="1"/>
  <c r="K236" i="10" s="1"/>
  <c r="F236" i="10"/>
  <c r="I235" i="10"/>
  <c r="K235" i="10" s="1"/>
  <c r="H235" i="10"/>
  <c r="G235" i="10"/>
  <c r="F235" i="10"/>
  <c r="H234" i="10"/>
  <c r="G234" i="10"/>
  <c r="I234" i="10" s="1"/>
  <c r="K234" i="10" s="1"/>
  <c r="F234" i="10"/>
  <c r="H233" i="10"/>
  <c r="G233" i="10"/>
  <c r="I233" i="10" s="1"/>
  <c r="K233" i="10" s="1"/>
  <c r="F233" i="10"/>
  <c r="H232" i="10"/>
  <c r="G232" i="10"/>
  <c r="I232" i="10" s="1"/>
  <c r="K232" i="10" s="1"/>
  <c r="F232" i="10"/>
  <c r="H231" i="10"/>
  <c r="G231" i="10"/>
  <c r="I231" i="10" s="1"/>
  <c r="K231" i="10" s="1"/>
  <c r="F231" i="10"/>
  <c r="H230" i="10"/>
  <c r="G230" i="10"/>
  <c r="I230" i="10" s="1"/>
  <c r="K230" i="10" s="1"/>
  <c r="F230" i="10"/>
  <c r="H229" i="10"/>
  <c r="G229" i="10"/>
  <c r="I229" i="10" s="1"/>
  <c r="K229" i="10" s="1"/>
  <c r="F229" i="10"/>
  <c r="H228" i="10"/>
  <c r="G228" i="10"/>
  <c r="I228" i="10" s="1"/>
  <c r="K228" i="10" s="1"/>
  <c r="F228" i="10"/>
  <c r="I227" i="10"/>
  <c r="K227" i="10" s="1"/>
  <c r="H227" i="10"/>
  <c r="G227" i="10"/>
  <c r="F227" i="10"/>
  <c r="J201" i="10"/>
  <c r="J200" i="10"/>
  <c r="J199" i="10"/>
  <c r="J198" i="10"/>
  <c r="J197" i="10"/>
  <c r="J202" i="10" s="1"/>
  <c r="J196" i="10"/>
  <c r="J195" i="10"/>
  <c r="H194" i="10"/>
  <c r="G194" i="10"/>
  <c r="I194" i="10" s="1"/>
  <c r="K194" i="10" s="1"/>
  <c r="F194" i="10"/>
  <c r="H193" i="10"/>
  <c r="G193" i="10"/>
  <c r="I193" i="10" s="1"/>
  <c r="K193" i="10" s="1"/>
  <c r="F193" i="10"/>
  <c r="K192" i="10"/>
  <c r="I192" i="10"/>
  <c r="H192" i="10"/>
  <c r="G192" i="10"/>
  <c r="F192" i="10"/>
  <c r="I191" i="10"/>
  <c r="K191" i="10" s="1"/>
  <c r="H191" i="10"/>
  <c r="G191" i="10"/>
  <c r="F191" i="10"/>
  <c r="H190" i="10"/>
  <c r="G190" i="10"/>
  <c r="I190" i="10" s="1"/>
  <c r="K190" i="10" s="1"/>
  <c r="F190" i="10"/>
  <c r="H189" i="10"/>
  <c r="I189" i="10" s="1"/>
  <c r="K189" i="10" s="1"/>
  <c r="G189" i="10"/>
  <c r="F189" i="10"/>
  <c r="H188" i="10"/>
  <c r="G188" i="10"/>
  <c r="I188" i="10" s="1"/>
  <c r="K188" i="10" s="1"/>
  <c r="F188" i="10"/>
  <c r="H187" i="10"/>
  <c r="I187" i="10" s="1"/>
  <c r="K187" i="10" s="1"/>
  <c r="G187" i="10"/>
  <c r="F187" i="10"/>
  <c r="H186" i="10"/>
  <c r="G186" i="10"/>
  <c r="I186" i="10" s="1"/>
  <c r="K186" i="10" s="1"/>
  <c r="F186" i="10"/>
  <c r="H185" i="10"/>
  <c r="G185" i="10"/>
  <c r="I185" i="10" s="1"/>
  <c r="K185" i="10" s="1"/>
  <c r="F185" i="10"/>
  <c r="K184" i="10"/>
  <c r="I184" i="10"/>
  <c r="I223" i="10" s="1"/>
  <c r="H184" i="10"/>
  <c r="H223" i="10" s="1"/>
  <c r="G184" i="10"/>
  <c r="G223" i="10" s="1"/>
  <c r="F184" i="10"/>
  <c r="F223" i="10" s="1"/>
  <c r="I183" i="10"/>
  <c r="K183" i="10" s="1"/>
  <c r="H183" i="10"/>
  <c r="G183" i="10"/>
  <c r="F183" i="10"/>
  <c r="H182" i="10"/>
  <c r="G182" i="10"/>
  <c r="I182" i="10" s="1"/>
  <c r="K182" i="10" s="1"/>
  <c r="F182" i="10"/>
  <c r="H181" i="10"/>
  <c r="I181" i="10" s="1"/>
  <c r="K181" i="10" s="1"/>
  <c r="G181" i="10"/>
  <c r="F181" i="10"/>
  <c r="H180" i="10"/>
  <c r="G180" i="10"/>
  <c r="I180" i="10" s="1"/>
  <c r="K180" i="10" s="1"/>
  <c r="F180" i="10"/>
  <c r="H179" i="10"/>
  <c r="I179" i="10" s="1"/>
  <c r="K179" i="10" s="1"/>
  <c r="G179" i="10"/>
  <c r="F179" i="10"/>
  <c r="H178" i="10"/>
  <c r="G178" i="10"/>
  <c r="I178" i="10" s="1"/>
  <c r="K178" i="10" s="1"/>
  <c r="F178" i="10"/>
  <c r="H177" i="10"/>
  <c r="G177" i="10"/>
  <c r="I177" i="10" s="1"/>
  <c r="K177" i="10" s="1"/>
  <c r="F177" i="10"/>
  <c r="K176" i="10"/>
  <c r="I176" i="10"/>
  <c r="H176" i="10"/>
  <c r="G176" i="10"/>
  <c r="F176" i="10"/>
  <c r="I175" i="10"/>
  <c r="K175" i="10" s="1"/>
  <c r="H175" i="10"/>
  <c r="G175" i="10"/>
  <c r="F175" i="10"/>
  <c r="H174" i="10"/>
  <c r="G174" i="10"/>
  <c r="I174" i="10" s="1"/>
  <c r="K174" i="10" s="1"/>
  <c r="F174" i="10"/>
  <c r="H173" i="10"/>
  <c r="H222" i="10" s="1"/>
  <c r="G173" i="10"/>
  <c r="G222" i="10" s="1"/>
  <c r="F173" i="10"/>
  <c r="F222" i="10" s="1"/>
  <c r="H172" i="10"/>
  <c r="G172" i="10"/>
  <c r="I172" i="10" s="1"/>
  <c r="K172" i="10" s="1"/>
  <c r="F172" i="10"/>
  <c r="H171" i="10"/>
  <c r="I171" i="10" s="1"/>
  <c r="K171" i="10" s="1"/>
  <c r="G171" i="10"/>
  <c r="F171" i="10"/>
  <c r="H170" i="10"/>
  <c r="I170" i="10" s="1"/>
  <c r="K170" i="10" s="1"/>
  <c r="G170" i="10"/>
  <c r="F170" i="10"/>
  <c r="H169" i="10"/>
  <c r="G169" i="10"/>
  <c r="I169" i="10" s="1"/>
  <c r="K169" i="10" s="1"/>
  <c r="F169" i="10"/>
  <c r="K168" i="10"/>
  <c r="I168" i="10"/>
  <c r="H168" i="10"/>
  <c r="G168" i="10"/>
  <c r="F168" i="10"/>
  <c r="I167" i="10"/>
  <c r="K167" i="10" s="1"/>
  <c r="H167" i="10"/>
  <c r="G167" i="10"/>
  <c r="F167" i="10"/>
  <c r="H166" i="10"/>
  <c r="G166" i="10"/>
  <c r="I166" i="10" s="1"/>
  <c r="K166" i="10" s="1"/>
  <c r="F166" i="10"/>
  <c r="K165" i="10"/>
  <c r="I165" i="10"/>
  <c r="H165" i="10"/>
  <c r="G165" i="10"/>
  <c r="F165" i="10"/>
  <c r="H164" i="10"/>
  <c r="G164" i="10"/>
  <c r="I164" i="10" s="1"/>
  <c r="K164" i="10" s="1"/>
  <c r="F164" i="10"/>
  <c r="H163" i="10"/>
  <c r="G163" i="10"/>
  <c r="I163" i="10" s="1"/>
  <c r="K163" i="10" s="1"/>
  <c r="F163" i="10"/>
  <c r="H162" i="10"/>
  <c r="H201" i="10" s="1"/>
  <c r="G162" i="10"/>
  <c r="G201" i="10" s="1"/>
  <c r="F162" i="10"/>
  <c r="F201" i="10" s="1"/>
  <c r="H161" i="10"/>
  <c r="G161" i="10"/>
  <c r="I161" i="10" s="1"/>
  <c r="K161" i="10" s="1"/>
  <c r="F161" i="10"/>
  <c r="K160" i="10"/>
  <c r="I160" i="10"/>
  <c r="H160" i="10"/>
  <c r="G160" i="10"/>
  <c r="F160" i="10"/>
  <c r="I159" i="10"/>
  <c r="K159" i="10" s="1"/>
  <c r="H159" i="10"/>
  <c r="G159" i="10"/>
  <c r="F159" i="10"/>
  <c r="H158" i="10"/>
  <c r="G158" i="10"/>
  <c r="I158" i="10" s="1"/>
  <c r="K158" i="10" s="1"/>
  <c r="F158" i="10"/>
  <c r="K157" i="10"/>
  <c r="I157" i="10"/>
  <c r="H157" i="10"/>
  <c r="G157" i="10"/>
  <c r="F157" i="10"/>
  <c r="H156" i="10"/>
  <c r="G156" i="10"/>
  <c r="I156" i="10" s="1"/>
  <c r="K156" i="10" s="1"/>
  <c r="F156" i="10"/>
  <c r="H155" i="10"/>
  <c r="G155" i="10"/>
  <c r="I155" i="10" s="1"/>
  <c r="F155" i="10"/>
  <c r="K154" i="10"/>
  <c r="I154" i="10"/>
  <c r="H154" i="10"/>
  <c r="H220" i="10" s="1"/>
  <c r="G154" i="10"/>
  <c r="G220" i="10" s="1"/>
  <c r="F154" i="10"/>
  <c r="F220" i="10" s="1"/>
  <c r="H153" i="10"/>
  <c r="G153" i="10"/>
  <c r="I153" i="10" s="1"/>
  <c r="K153" i="10" s="1"/>
  <c r="F153" i="10"/>
  <c r="K152" i="10"/>
  <c r="I152" i="10"/>
  <c r="H152" i="10"/>
  <c r="G152" i="10"/>
  <c r="F152" i="10"/>
  <c r="I151" i="10"/>
  <c r="K151" i="10" s="1"/>
  <c r="H151" i="10"/>
  <c r="G151" i="10"/>
  <c r="F151" i="10"/>
  <c r="H150" i="10"/>
  <c r="G150" i="10"/>
  <c r="I150" i="10" s="1"/>
  <c r="K150" i="10" s="1"/>
  <c r="F150" i="10"/>
  <c r="K149" i="10"/>
  <c r="I149" i="10"/>
  <c r="H149" i="10"/>
  <c r="G149" i="10"/>
  <c r="F149" i="10"/>
  <c r="H148" i="10"/>
  <c r="H219" i="10" s="1"/>
  <c r="G148" i="10"/>
  <c r="G219" i="10" s="1"/>
  <c r="F148" i="10"/>
  <c r="F219" i="10" s="1"/>
  <c r="H147" i="10"/>
  <c r="G147" i="10"/>
  <c r="I147" i="10" s="1"/>
  <c r="K147" i="10" s="1"/>
  <c r="F147" i="10"/>
  <c r="K146" i="10"/>
  <c r="I146" i="10"/>
  <c r="H146" i="10"/>
  <c r="G146" i="10"/>
  <c r="F146" i="10"/>
  <c r="H145" i="10"/>
  <c r="G145" i="10"/>
  <c r="I145" i="10" s="1"/>
  <c r="K145" i="10" s="1"/>
  <c r="F145" i="10"/>
  <c r="K144" i="10"/>
  <c r="I144" i="10"/>
  <c r="H144" i="10"/>
  <c r="G144" i="10"/>
  <c r="F144" i="10"/>
  <c r="I143" i="10"/>
  <c r="K143" i="10" s="1"/>
  <c r="H143" i="10"/>
  <c r="G143" i="10"/>
  <c r="F143" i="10"/>
  <c r="H142" i="10"/>
  <c r="G142" i="10"/>
  <c r="I142" i="10" s="1"/>
  <c r="K142" i="10" s="1"/>
  <c r="F142" i="10"/>
  <c r="K141" i="10"/>
  <c r="I141" i="10"/>
  <c r="H141" i="10"/>
  <c r="G141" i="10"/>
  <c r="F141" i="10"/>
  <c r="H140" i="10"/>
  <c r="I140" i="10" s="1"/>
  <c r="K140" i="10" s="1"/>
  <c r="G140" i="10"/>
  <c r="F140" i="10"/>
  <c r="H139" i="10"/>
  <c r="H218" i="10" s="1"/>
  <c r="G139" i="10"/>
  <c r="G218" i="10" s="1"/>
  <c r="F139" i="10"/>
  <c r="F218" i="10" s="1"/>
  <c r="H138" i="10"/>
  <c r="I138" i="10" s="1"/>
  <c r="K138" i="10" s="1"/>
  <c r="G138" i="10"/>
  <c r="F138" i="10"/>
  <c r="H137" i="10"/>
  <c r="G137" i="10"/>
  <c r="I137" i="10" s="1"/>
  <c r="K137" i="10" s="1"/>
  <c r="F137" i="10"/>
  <c r="K136" i="10"/>
  <c r="I136" i="10"/>
  <c r="H136" i="10"/>
  <c r="G136" i="10"/>
  <c r="F136" i="10"/>
  <c r="I135" i="10"/>
  <c r="K135" i="10" s="1"/>
  <c r="H135" i="10"/>
  <c r="G135" i="10"/>
  <c r="F135" i="10"/>
  <c r="H134" i="10"/>
  <c r="G134" i="10"/>
  <c r="I134" i="10" s="1"/>
  <c r="K134" i="10" s="1"/>
  <c r="F134" i="10"/>
  <c r="K133" i="10"/>
  <c r="I133" i="10"/>
  <c r="H133" i="10"/>
  <c r="G133" i="10"/>
  <c r="F133" i="10"/>
  <c r="H132" i="10"/>
  <c r="H217" i="10" s="1"/>
  <c r="G132" i="10"/>
  <c r="G217" i="10" s="1"/>
  <c r="F132" i="10"/>
  <c r="F200" i="10" s="1"/>
  <c r="H131" i="10"/>
  <c r="G131" i="10"/>
  <c r="I131" i="10" s="1"/>
  <c r="K131" i="10" s="1"/>
  <c r="F131" i="10"/>
  <c r="H130" i="10"/>
  <c r="I130" i="10" s="1"/>
  <c r="K130" i="10" s="1"/>
  <c r="G130" i="10"/>
  <c r="F130" i="10"/>
  <c r="H129" i="10"/>
  <c r="G129" i="10"/>
  <c r="I129" i="10" s="1"/>
  <c r="K129" i="10" s="1"/>
  <c r="F129" i="10"/>
  <c r="K128" i="10"/>
  <c r="I128" i="10"/>
  <c r="H128" i="10"/>
  <c r="H213" i="10" s="1"/>
  <c r="G128" i="10"/>
  <c r="G213" i="10" s="1"/>
  <c r="F128" i="10"/>
  <c r="F213" i="10" s="1"/>
  <c r="I127" i="10"/>
  <c r="K127" i="10" s="1"/>
  <c r="H127" i="10"/>
  <c r="G127" i="10"/>
  <c r="F127" i="10"/>
  <c r="H126" i="10"/>
  <c r="G126" i="10"/>
  <c r="I126" i="10" s="1"/>
  <c r="K126" i="10" s="1"/>
  <c r="F126" i="10"/>
  <c r="K125" i="10"/>
  <c r="I125" i="10"/>
  <c r="H125" i="10"/>
  <c r="G125" i="10"/>
  <c r="F125" i="10"/>
  <c r="H124" i="10"/>
  <c r="I124" i="10" s="1"/>
  <c r="K124" i="10" s="1"/>
  <c r="G124" i="10"/>
  <c r="F124" i="10"/>
  <c r="H123" i="10"/>
  <c r="G123" i="10"/>
  <c r="I123" i="10" s="1"/>
  <c r="K123" i="10" s="1"/>
  <c r="F123" i="10"/>
  <c r="K122" i="10"/>
  <c r="I122" i="10"/>
  <c r="H122" i="10"/>
  <c r="G122" i="10"/>
  <c r="F122" i="10"/>
  <c r="H121" i="10"/>
  <c r="H216" i="10" s="1"/>
  <c r="G121" i="10"/>
  <c r="G216" i="10" s="1"/>
  <c r="F121" i="10"/>
  <c r="F216" i="10" s="1"/>
  <c r="K120" i="10"/>
  <c r="I120" i="10"/>
  <c r="H120" i="10"/>
  <c r="G120" i="10"/>
  <c r="F120" i="10"/>
  <c r="I119" i="10"/>
  <c r="K119" i="10" s="1"/>
  <c r="H119" i="10"/>
  <c r="G119" i="10"/>
  <c r="F119" i="10"/>
  <c r="H118" i="10"/>
  <c r="G118" i="10"/>
  <c r="I118" i="10" s="1"/>
  <c r="K118" i="10" s="1"/>
  <c r="F118" i="10"/>
  <c r="K117" i="10"/>
  <c r="I117" i="10"/>
  <c r="H117" i="10"/>
  <c r="G117" i="10"/>
  <c r="F117" i="10"/>
  <c r="H116" i="10"/>
  <c r="I116" i="10" s="1"/>
  <c r="K116" i="10" s="1"/>
  <c r="G116" i="10"/>
  <c r="F116" i="10"/>
  <c r="H115" i="10"/>
  <c r="H215" i="10" s="1"/>
  <c r="G115" i="10"/>
  <c r="I115" i="10" s="1"/>
  <c r="F115" i="10"/>
  <c r="F215" i="10" s="1"/>
  <c r="H114" i="10"/>
  <c r="I114" i="10" s="1"/>
  <c r="K114" i="10" s="1"/>
  <c r="G114" i="10"/>
  <c r="F114" i="10"/>
  <c r="H113" i="10"/>
  <c r="G113" i="10"/>
  <c r="I113" i="10" s="1"/>
  <c r="K113" i="10" s="1"/>
  <c r="F113" i="10"/>
  <c r="K112" i="10"/>
  <c r="I112" i="10"/>
  <c r="H112" i="10"/>
  <c r="G112" i="10"/>
  <c r="F112" i="10"/>
  <c r="I111" i="10"/>
  <c r="K111" i="10" s="1"/>
  <c r="H111" i="10"/>
  <c r="G111" i="10"/>
  <c r="F111" i="10"/>
  <c r="H110" i="10"/>
  <c r="G110" i="10"/>
  <c r="I110" i="10" s="1"/>
  <c r="K110" i="10" s="1"/>
  <c r="F110" i="10"/>
  <c r="K109" i="10"/>
  <c r="I109" i="10"/>
  <c r="H109" i="10"/>
  <c r="G109" i="10"/>
  <c r="F109" i="10"/>
  <c r="H108" i="10"/>
  <c r="G108" i="10"/>
  <c r="I108" i="10" s="1"/>
  <c r="K108" i="10" s="1"/>
  <c r="F108" i="10"/>
  <c r="H107" i="10"/>
  <c r="G107" i="10"/>
  <c r="I107" i="10" s="1"/>
  <c r="K107" i="10" s="1"/>
  <c r="F107" i="10"/>
  <c r="K106" i="10"/>
  <c r="I106" i="10"/>
  <c r="H106" i="10"/>
  <c r="G106" i="10"/>
  <c r="F106" i="10"/>
  <c r="H105" i="10"/>
  <c r="H214" i="10" s="1"/>
  <c r="G105" i="10"/>
  <c r="G214" i="10" s="1"/>
  <c r="F105" i="10"/>
  <c r="F214" i="10" s="1"/>
  <c r="K104" i="10"/>
  <c r="I104" i="10"/>
  <c r="H104" i="10"/>
  <c r="G104" i="10"/>
  <c r="F104" i="10"/>
  <c r="I103" i="10"/>
  <c r="K103" i="10" s="1"/>
  <c r="H103" i="10"/>
  <c r="G103" i="10"/>
  <c r="F103" i="10"/>
  <c r="H102" i="10"/>
  <c r="G102" i="10"/>
  <c r="I102" i="10" s="1"/>
  <c r="K102" i="10" s="1"/>
  <c r="F102" i="10"/>
  <c r="K101" i="10"/>
  <c r="I101" i="10"/>
  <c r="H101" i="10"/>
  <c r="G101" i="10"/>
  <c r="F101" i="10"/>
  <c r="H100" i="10"/>
  <c r="G100" i="10"/>
  <c r="I100" i="10" s="1"/>
  <c r="K100" i="10" s="1"/>
  <c r="F100" i="10"/>
  <c r="H99" i="10"/>
  <c r="G99" i="10"/>
  <c r="I99" i="10" s="1"/>
  <c r="K99" i="10" s="1"/>
  <c r="F99" i="10"/>
  <c r="K98" i="10"/>
  <c r="I98" i="10"/>
  <c r="H98" i="10"/>
  <c r="G98" i="10"/>
  <c r="F98" i="10"/>
  <c r="H97" i="10"/>
  <c r="G97" i="10"/>
  <c r="I97" i="10" s="1"/>
  <c r="K97" i="10" s="1"/>
  <c r="F97" i="10"/>
  <c r="K96" i="10"/>
  <c r="I96" i="10"/>
  <c r="H96" i="10"/>
  <c r="G96" i="10"/>
  <c r="F96" i="10"/>
  <c r="I95" i="10"/>
  <c r="K95" i="10" s="1"/>
  <c r="H95" i="10"/>
  <c r="G95" i="10"/>
  <c r="F95" i="10"/>
  <c r="H94" i="10"/>
  <c r="H209" i="10" s="1"/>
  <c r="G94" i="10"/>
  <c r="I94" i="10" s="1"/>
  <c r="F94" i="10"/>
  <c r="F209" i="10" s="1"/>
  <c r="K93" i="10"/>
  <c r="I93" i="10"/>
  <c r="H93" i="10"/>
  <c r="G93" i="10"/>
  <c r="F93" i="10"/>
  <c r="H92" i="10"/>
  <c r="G92" i="10"/>
  <c r="I92" i="10" s="1"/>
  <c r="K92" i="10" s="1"/>
  <c r="F92" i="10"/>
  <c r="H91" i="10"/>
  <c r="G91" i="10"/>
  <c r="I91" i="10" s="1"/>
  <c r="K91" i="10" s="1"/>
  <c r="F91" i="10"/>
  <c r="H90" i="10"/>
  <c r="I90" i="10" s="1"/>
  <c r="K90" i="10" s="1"/>
  <c r="G90" i="10"/>
  <c r="F90" i="10"/>
  <c r="H89" i="10"/>
  <c r="G89" i="10"/>
  <c r="I89" i="10" s="1"/>
  <c r="K89" i="10" s="1"/>
  <c r="F89" i="10"/>
  <c r="K88" i="10"/>
  <c r="I88" i="10"/>
  <c r="H88" i="10"/>
  <c r="G88" i="10"/>
  <c r="F88" i="10"/>
  <c r="I87" i="10"/>
  <c r="K87" i="10" s="1"/>
  <c r="H87" i="10"/>
  <c r="G87" i="10"/>
  <c r="F87" i="10"/>
  <c r="H86" i="10"/>
  <c r="G86" i="10"/>
  <c r="I86" i="10" s="1"/>
  <c r="K86" i="10" s="1"/>
  <c r="F86" i="10"/>
  <c r="K85" i="10"/>
  <c r="I85" i="10"/>
  <c r="H85" i="10"/>
  <c r="G85" i="10"/>
  <c r="F85" i="10"/>
  <c r="H84" i="10"/>
  <c r="G84" i="10"/>
  <c r="I84" i="10" s="1"/>
  <c r="K84" i="10" s="1"/>
  <c r="F84" i="10"/>
  <c r="H83" i="10"/>
  <c r="G83" i="10"/>
  <c r="I83" i="10" s="1"/>
  <c r="K83" i="10" s="1"/>
  <c r="F83" i="10"/>
  <c r="H82" i="10"/>
  <c r="H212" i="10" s="1"/>
  <c r="G82" i="10"/>
  <c r="G212" i="10" s="1"/>
  <c r="F82" i="10"/>
  <c r="F212" i="10" s="1"/>
  <c r="H81" i="10"/>
  <c r="G81" i="10"/>
  <c r="I81" i="10" s="1"/>
  <c r="K81" i="10" s="1"/>
  <c r="F81" i="10"/>
  <c r="K80" i="10"/>
  <c r="I80" i="10"/>
  <c r="H80" i="10"/>
  <c r="G80" i="10"/>
  <c r="F80" i="10"/>
  <c r="I79" i="10"/>
  <c r="K79" i="10" s="1"/>
  <c r="H79" i="10"/>
  <c r="G79" i="10"/>
  <c r="F79" i="10"/>
  <c r="H78" i="10"/>
  <c r="G78" i="10"/>
  <c r="I78" i="10" s="1"/>
  <c r="K78" i="10" s="1"/>
  <c r="F78" i="10"/>
  <c r="K77" i="10"/>
  <c r="I77" i="10"/>
  <c r="H77" i="10"/>
  <c r="G77" i="10"/>
  <c r="F77" i="10"/>
  <c r="H76" i="10"/>
  <c r="G76" i="10"/>
  <c r="I76" i="10" s="1"/>
  <c r="K76" i="10" s="1"/>
  <c r="F76" i="10"/>
  <c r="K75" i="10"/>
  <c r="I75" i="10"/>
  <c r="H75" i="10"/>
  <c r="G75" i="10"/>
  <c r="F75" i="10"/>
  <c r="K74" i="10"/>
  <c r="I74" i="10"/>
  <c r="H74" i="10"/>
  <c r="G74" i="10"/>
  <c r="F74" i="10"/>
  <c r="H73" i="10"/>
  <c r="G73" i="10"/>
  <c r="I73" i="10" s="1"/>
  <c r="K73" i="10" s="1"/>
  <c r="F73" i="10"/>
  <c r="K72" i="10"/>
  <c r="I72" i="10"/>
  <c r="H72" i="10"/>
  <c r="G72" i="10"/>
  <c r="F72" i="10"/>
  <c r="I71" i="10"/>
  <c r="K71" i="10" s="1"/>
  <c r="H71" i="10"/>
  <c r="G71" i="10"/>
  <c r="F71" i="10"/>
  <c r="H70" i="10"/>
  <c r="G70" i="10"/>
  <c r="I70" i="10" s="1"/>
  <c r="K70" i="10" s="1"/>
  <c r="F70" i="10"/>
  <c r="K69" i="10"/>
  <c r="I69" i="10"/>
  <c r="H69" i="10"/>
  <c r="G69" i="10"/>
  <c r="F69" i="10"/>
  <c r="H68" i="10"/>
  <c r="G68" i="10"/>
  <c r="I68" i="10" s="1"/>
  <c r="K68" i="10" s="1"/>
  <c r="F68" i="10"/>
  <c r="H67" i="10"/>
  <c r="G67" i="10"/>
  <c r="I67" i="10" s="1"/>
  <c r="K67" i="10" s="1"/>
  <c r="F67" i="10"/>
  <c r="K66" i="10"/>
  <c r="I66" i="10"/>
  <c r="I211" i="10" s="1"/>
  <c r="H66" i="10"/>
  <c r="H211" i="10" s="1"/>
  <c r="G66" i="10"/>
  <c r="G211" i="10" s="1"/>
  <c r="F66" i="10"/>
  <c r="F211" i="10" s="1"/>
  <c r="H65" i="10"/>
  <c r="G65" i="10"/>
  <c r="I65" i="10" s="1"/>
  <c r="K65" i="10" s="1"/>
  <c r="F65" i="10"/>
  <c r="K64" i="10"/>
  <c r="I64" i="10"/>
  <c r="H64" i="10"/>
  <c r="G64" i="10"/>
  <c r="F64" i="10"/>
  <c r="I63" i="10"/>
  <c r="K63" i="10" s="1"/>
  <c r="H63" i="10"/>
  <c r="G63" i="10"/>
  <c r="F63" i="10"/>
  <c r="H62" i="10"/>
  <c r="G62" i="10"/>
  <c r="I62" i="10" s="1"/>
  <c r="K62" i="10" s="1"/>
  <c r="F62" i="10"/>
  <c r="K61" i="10"/>
  <c r="I61" i="10"/>
  <c r="H61" i="10"/>
  <c r="G61" i="10"/>
  <c r="F61" i="10"/>
  <c r="H60" i="10"/>
  <c r="G60" i="10"/>
  <c r="I60" i="10" s="1"/>
  <c r="K60" i="10" s="1"/>
  <c r="F60" i="10"/>
  <c r="H59" i="10"/>
  <c r="G59" i="10"/>
  <c r="I59" i="10" s="1"/>
  <c r="F59" i="10"/>
  <c r="K58" i="10"/>
  <c r="I58" i="10"/>
  <c r="H58" i="10"/>
  <c r="H208" i="10" s="1"/>
  <c r="G58" i="10"/>
  <c r="G208" i="10" s="1"/>
  <c r="F58" i="10"/>
  <c r="F208" i="10" s="1"/>
  <c r="H57" i="10"/>
  <c r="G57" i="10"/>
  <c r="I57" i="10" s="1"/>
  <c r="K57" i="10" s="1"/>
  <c r="F57" i="10"/>
  <c r="K56" i="10"/>
  <c r="I56" i="10"/>
  <c r="H56" i="10"/>
  <c r="G56" i="10"/>
  <c r="F56" i="10"/>
  <c r="I55" i="10"/>
  <c r="K55" i="10" s="1"/>
  <c r="H55" i="10"/>
  <c r="G55" i="10"/>
  <c r="F55" i="10"/>
  <c r="H54" i="10"/>
  <c r="G54" i="10"/>
  <c r="I54" i="10" s="1"/>
  <c r="K54" i="10" s="1"/>
  <c r="F54" i="10"/>
  <c r="K53" i="10"/>
  <c r="I53" i="10"/>
  <c r="H53" i="10"/>
  <c r="G53" i="10"/>
  <c r="F53" i="10"/>
  <c r="H52" i="10"/>
  <c r="G52" i="10"/>
  <c r="I52" i="10" s="1"/>
  <c r="K52" i="10" s="1"/>
  <c r="F52" i="10"/>
  <c r="H51" i="10"/>
  <c r="G51" i="10"/>
  <c r="I51" i="10" s="1"/>
  <c r="K51" i="10" s="1"/>
  <c r="F51" i="10"/>
  <c r="K50" i="10"/>
  <c r="I50" i="10"/>
  <c r="H50" i="10"/>
  <c r="G50" i="10"/>
  <c r="F50" i="10"/>
  <c r="H49" i="10"/>
  <c r="G49" i="10"/>
  <c r="I49" i="10" s="1"/>
  <c r="F49" i="10"/>
  <c r="K48" i="10"/>
  <c r="I48" i="10"/>
  <c r="H48" i="10"/>
  <c r="H210" i="10" s="1"/>
  <c r="G48" i="10"/>
  <c r="G210" i="10" s="1"/>
  <c r="F48" i="10"/>
  <c r="F210" i="10" s="1"/>
  <c r="I47" i="10"/>
  <c r="K47" i="10" s="1"/>
  <c r="H47" i="10"/>
  <c r="G47" i="10"/>
  <c r="F47" i="10"/>
  <c r="H46" i="10"/>
  <c r="G46" i="10"/>
  <c r="I46" i="10" s="1"/>
  <c r="K46" i="10" s="1"/>
  <c r="F46" i="10"/>
  <c r="K45" i="10"/>
  <c r="I45" i="10"/>
  <c r="H45" i="10"/>
  <c r="G45" i="10"/>
  <c r="F45" i="10"/>
  <c r="H44" i="10"/>
  <c r="G44" i="10"/>
  <c r="I44" i="10" s="1"/>
  <c r="K44" i="10" s="1"/>
  <c r="F44" i="10"/>
  <c r="H43" i="10"/>
  <c r="G43" i="10"/>
  <c r="I43" i="10" s="1"/>
  <c r="K43" i="10" s="1"/>
  <c r="F43" i="10"/>
  <c r="K42" i="10"/>
  <c r="I42" i="10"/>
  <c r="H42" i="10"/>
  <c r="G42" i="10"/>
  <c r="F42" i="10"/>
  <c r="H41" i="10"/>
  <c r="G41" i="10"/>
  <c r="I41" i="10" s="1"/>
  <c r="K41" i="10" s="1"/>
  <c r="F41" i="10"/>
  <c r="K40" i="10"/>
  <c r="I40" i="10"/>
  <c r="H40" i="10"/>
  <c r="G40" i="10"/>
  <c r="F40" i="10"/>
  <c r="I39" i="10"/>
  <c r="K39" i="10" s="1"/>
  <c r="H39" i="10"/>
  <c r="G39" i="10"/>
  <c r="F39" i="10"/>
  <c r="H38" i="10"/>
  <c r="H206" i="10" s="1"/>
  <c r="G38" i="10"/>
  <c r="G206" i="10" s="1"/>
  <c r="F38" i="10"/>
  <c r="F206" i="10" s="1"/>
  <c r="K37" i="10"/>
  <c r="I37" i="10"/>
  <c r="H37" i="10"/>
  <c r="G37" i="10"/>
  <c r="F37" i="10"/>
  <c r="H36" i="10"/>
  <c r="G36" i="10"/>
  <c r="I36" i="10" s="1"/>
  <c r="K36" i="10" s="1"/>
  <c r="F36" i="10"/>
  <c r="H35" i="10"/>
  <c r="G35" i="10"/>
  <c r="I35" i="10" s="1"/>
  <c r="K35" i="10" s="1"/>
  <c r="F35" i="10"/>
  <c r="K34" i="10"/>
  <c r="I34" i="10"/>
  <c r="H34" i="10"/>
  <c r="G34" i="10"/>
  <c r="F34" i="10"/>
  <c r="H33" i="10"/>
  <c r="G33" i="10"/>
  <c r="I33" i="10" s="1"/>
  <c r="K33" i="10" s="1"/>
  <c r="F33" i="10"/>
  <c r="K32" i="10"/>
  <c r="I32" i="10"/>
  <c r="H32" i="10"/>
  <c r="G32" i="10"/>
  <c r="F32" i="10"/>
  <c r="I31" i="10"/>
  <c r="K31" i="10" s="1"/>
  <c r="H31" i="10"/>
  <c r="G31" i="10"/>
  <c r="F31" i="10"/>
  <c r="H30" i="10"/>
  <c r="G30" i="10"/>
  <c r="I30" i="10" s="1"/>
  <c r="K30" i="10" s="1"/>
  <c r="F30" i="10"/>
  <c r="K29" i="10"/>
  <c r="I29" i="10"/>
  <c r="H29" i="10"/>
  <c r="G29" i="10"/>
  <c r="F29" i="10"/>
  <c r="H28" i="10"/>
  <c r="H205" i="10" s="1"/>
  <c r="G28" i="10"/>
  <c r="G205" i="10" s="1"/>
  <c r="F28" i="10"/>
  <c r="F205" i="10" s="1"/>
  <c r="H27" i="10"/>
  <c r="G27" i="10"/>
  <c r="I27" i="10" s="1"/>
  <c r="K27" i="10" s="1"/>
  <c r="F27" i="10"/>
  <c r="K26" i="10"/>
  <c r="I26" i="10"/>
  <c r="H26" i="10"/>
  <c r="G26" i="10"/>
  <c r="F26" i="10"/>
  <c r="H25" i="10"/>
  <c r="G25" i="10"/>
  <c r="I25" i="10" s="1"/>
  <c r="K25" i="10" s="1"/>
  <c r="F25" i="10"/>
  <c r="K24" i="10"/>
  <c r="I24" i="10"/>
  <c r="H24" i="10"/>
  <c r="G24" i="10"/>
  <c r="F24" i="10"/>
  <c r="I23" i="10"/>
  <c r="K23" i="10" s="1"/>
  <c r="H23" i="10"/>
  <c r="G23" i="10"/>
  <c r="F23" i="10"/>
  <c r="H22" i="10"/>
  <c r="G22" i="10"/>
  <c r="I22" i="10" s="1"/>
  <c r="K22" i="10" s="1"/>
  <c r="F22" i="10"/>
  <c r="K21" i="10"/>
  <c r="I21" i="10"/>
  <c r="H21" i="10"/>
  <c r="G21" i="10"/>
  <c r="F21" i="10"/>
  <c r="H20" i="10"/>
  <c r="G20" i="10"/>
  <c r="I20" i="10" s="1"/>
  <c r="K20" i="10" s="1"/>
  <c r="F20" i="10"/>
  <c r="H19" i="10"/>
  <c r="H204" i="10" s="1"/>
  <c r="G19" i="10"/>
  <c r="G204" i="10" s="1"/>
  <c r="F19" i="10"/>
  <c r="F204" i="10" s="1"/>
  <c r="K18" i="10"/>
  <c r="I18" i="10"/>
  <c r="H18" i="10"/>
  <c r="G18" i="10"/>
  <c r="F18" i="10"/>
  <c r="H17" i="10"/>
  <c r="G17" i="10"/>
  <c r="I17" i="10" s="1"/>
  <c r="K17" i="10" s="1"/>
  <c r="F17" i="10"/>
  <c r="K16" i="10"/>
  <c r="I16" i="10"/>
  <c r="H16" i="10"/>
  <c r="G16" i="10"/>
  <c r="F16" i="10"/>
  <c r="I15" i="10"/>
  <c r="K15" i="10" s="1"/>
  <c r="H15" i="10"/>
  <c r="G15" i="10"/>
  <c r="F15" i="10"/>
  <c r="H14" i="10"/>
  <c r="G14" i="10"/>
  <c r="I14" i="10" s="1"/>
  <c r="K14" i="10" s="1"/>
  <c r="F14" i="10"/>
  <c r="K13" i="10"/>
  <c r="I13" i="10"/>
  <c r="H13" i="10"/>
  <c r="G13" i="10"/>
  <c r="F13" i="10"/>
  <c r="H12" i="10"/>
  <c r="G12" i="10"/>
  <c r="I12" i="10" s="1"/>
  <c r="K12" i="10" s="1"/>
  <c r="F12" i="10"/>
  <c r="H11" i="10"/>
  <c r="G11" i="10"/>
  <c r="I11" i="10" s="1"/>
  <c r="K11" i="10" s="1"/>
  <c r="F11" i="10"/>
  <c r="K10" i="10"/>
  <c r="I10" i="10"/>
  <c r="H10" i="10"/>
  <c r="G10" i="10"/>
  <c r="F10" i="10"/>
  <c r="H9" i="10"/>
  <c r="G9" i="10"/>
  <c r="I9" i="10" s="1"/>
  <c r="K9" i="10" s="1"/>
  <c r="F9" i="10"/>
  <c r="K8" i="10"/>
  <c r="I8" i="10"/>
  <c r="I203" i="10" s="1"/>
  <c r="H8" i="10"/>
  <c r="H203" i="10" s="1"/>
  <c r="G8" i="10"/>
  <c r="G203" i="10" s="1"/>
  <c r="F8" i="10"/>
  <c r="F203" i="10" s="1"/>
  <c r="I7" i="10"/>
  <c r="K7" i="10" s="1"/>
  <c r="H7" i="10"/>
  <c r="G7" i="10"/>
  <c r="F7" i="10"/>
  <c r="H6" i="10"/>
  <c r="G6" i="10"/>
  <c r="I6" i="10" s="1"/>
  <c r="K6" i="10" s="1"/>
  <c r="F6" i="10"/>
  <c r="K5" i="10"/>
  <c r="I5" i="10"/>
  <c r="H5" i="10"/>
  <c r="G5" i="10"/>
  <c r="F5" i="10"/>
  <c r="H4" i="10"/>
  <c r="G4" i="10"/>
  <c r="I4" i="10" s="1"/>
  <c r="K4" i="10" s="1"/>
  <c r="F4" i="10"/>
  <c r="H3" i="10"/>
  <c r="G3" i="10"/>
  <c r="I3" i="10" s="1"/>
  <c r="K3" i="10" s="1"/>
  <c r="F3" i="10"/>
  <c r="H2" i="10"/>
  <c r="I2" i="10" s="1"/>
  <c r="G2" i="10"/>
  <c r="G196" i="10" s="1"/>
  <c r="F2" i="10"/>
  <c r="F196" i="10" s="1"/>
  <c r="I209" i="10" l="1"/>
  <c r="K94" i="10"/>
  <c r="K115" i="10"/>
  <c r="I215" i="10"/>
  <c r="K2" i="10"/>
  <c r="I207" i="10"/>
  <c r="K59" i="10"/>
  <c r="I208" i="10"/>
  <c r="I213" i="10"/>
  <c r="K155" i="10"/>
  <c r="I220" i="10"/>
  <c r="I197" i="10"/>
  <c r="K49" i="10"/>
  <c r="I210" i="10"/>
  <c r="G200" i="10"/>
  <c r="I28" i="10"/>
  <c r="I132" i="10"/>
  <c r="I148" i="10"/>
  <c r="F195" i="10"/>
  <c r="H196" i="10"/>
  <c r="F199" i="10"/>
  <c r="H200" i="10"/>
  <c r="F207" i="10"/>
  <c r="F217" i="10"/>
  <c r="F221" i="10"/>
  <c r="I105" i="10"/>
  <c r="I121" i="10"/>
  <c r="G195" i="10"/>
  <c r="G199" i="10"/>
  <c r="G207" i="10"/>
  <c r="G209" i="10"/>
  <c r="G215" i="10"/>
  <c r="G221" i="10"/>
  <c r="I38" i="10"/>
  <c r="H195" i="10"/>
  <c r="F198" i="10"/>
  <c r="H199" i="10"/>
  <c r="H207" i="10"/>
  <c r="H221" i="10"/>
  <c r="I19" i="10"/>
  <c r="I195" i="10" s="1"/>
  <c r="K195" i="10" s="1"/>
  <c r="I139" i="10"/>
  <c r="G198" i="10"/>
  <c r="F197" i="10"/>
  <c r="H198" i="10"/>
  <c r="I173" i="10"/>
  <c r="G197" i="10"/>
  <c r="G202" i="10" s="1"/>
  <c r="I82" i="10"/>
  <c r="I162" i="10"/>
  <c r="H197" i="10"/>
  <c r="H202" i="10" s="1"/>
  <c r="I198" i="10" l="1"/>
  <c r="K198" i="10" s="1"/>
  <c r="I212" i="10"/>
  <c r="K82" i="10"/>
  <c r="I196" i="10"/>
  <c r="K196" i="10" s="1"/>
  <c r="K173" i="10"/>
  <c r="I222" i="10"/>
  <c r="K197" i="10"/>
  <c r="F202" i="10"/>
  <c r="I216" i="10"/>
  <c r="K121" i="10"/>
  <c r="K38" i="10"/>
  <c r="I206" i="10"/>
  <c r="I199" i="10"/>
  <c r="K199" i="10" s="1"/>
  <c r="K105" i="10"/>
  <c r="I214" i="10"/>
  <c r="I219" i="10"/>
  <c r="K148" i="10"/>
  <c r="K139" i="10"/>
  <c r="I218" i="10"/>
  <c r="I217" i="10"/>
  <c r="I200" i="10"/>
  <c r="K200" i="10" s="1"/>
  <c r="K132" i="10"/>
  <c r="I221" i="10"/>
  <c r="I201" i="10"/>
  <c r="K201" i="10" s="1"/>
  <c r="K162" i="10"/>
  <c r="K19" i="10"/>
  <c r="I204" i="10"/>
  <c r="I205" i="10"/>
  <c r="K28" i="10"/>
  <c r="I202" i="10" l="1"/>
  <c r="K202" i="10" s="1"/>
</calcChain>
</file>

<file path=xl/sharedStrings.xml><?xml version="1.0" encoding="utf-8"?>
<sst xmlns="http://schemas.openxmlformats.org/spreadsheetml/2006/main" count="873" uniqueCount="485">
  <si>
    <t>区域</t>
  </si>
  <si>
    <t>南一区</t>
  </si>
  <si>
    <t>A13258</t>
  </si>
  <si>
    <t>M18349</t>
  </si>
  <si>
    <t>南二区</t>
  </si>
  <si>
    <t>东区</t>
  </si>
  <si>
    <t>M18240</t>
  </si>
  <si>
    <t>北区</t>
  </si>
  <si>
    <t>M18390</t>
  </si>
  <si>
    <t>M18331</t>
  </si>
  <si>
    <t>M18229</t>
  </si>
  <si>
    <t>M18025</t>
  </si>
  <si>
    <t>M18561</t>
  </si>
  <si>
    <t>A28858</t>
  </si>
  <si>
    <t>M18088</t>
  </si>
  <si>
    <t>A13305</t>
  </si>
  <si>
    <t>中区</t>
  </si>
  <si>
    <t>M18160</t>
  </si>
  <si>
    <t>M18209</t>
  </si>
  <si>
    <t>A15116</t>
  </si>
  <si>
    <t>A13291</t>
  </si>
  <si>
    <t>M18118</t>
  </si>
  <si>
    <t>M18353</t>
  </si>
  <si>
    <t>M18333</t>
  </si>
  <si>
    <t>A17995</t>
  </si>
  <si>
    <t>M18128</t>
  </si>
  <si>
    <t>A14837</t>
  </si>
  <si>
    <t>A13279</t>
  </si>
  <si>
    <t>M18099</t>
  </si>
  <si>
    <t>A13314</t>
  </si>
  <si>
    <t>M18307</t>
  </si>
  <si>
    <t>M18138</t>
  </si>
  <si>
    <t>M18365</t>
  </si>
  <si>
    <t>M18519</t>
  </si>
  <si>
    <t>M18042</t>
  </si>
  <si>
    <t>A13311</t>
  </si>
  <si>
    <t>M18197</t>
  </si>
  <si>
    <t>A13342</t>
  </si>
  <si>
    <t>A13261</t>
  </si>
  <si>
    <t>M18297</t>
  </si>
  <si>
    <t>A16596</t>
  </si>
  <si>
    <t>M18613</t>
  </si>
  <si>
    <t>M18095</t>
  </si>
  <si>
    <t>M18571</t>
  </si>
  <si>
    <t>A26218</t>
  </si>
  <si>
    <t>M18003</t>
  </si>
  <si>
    <t>A30535</t>
  </si>
  <si>
    <t>M18105</t>
  </si>
  <si>
    <t>A17996</t>
  </si>
  <si>
    <t>A13297</t>
  </si>
  <si>
    <t>A13544</t>
  </si>
  <si>
    <t>M18539</t>
  </si>
  <si>
    <t>M18137</t>
  </si>
  <si>
    <t>M18163</t>
  </si>
  <si>
    <t>A27896</t>
  </si>
  <si>
    <t>M18026</t>
  </si>
  <si>
    <t>A30475</t>
  </si>
  <si>
    <t>M18131</t>
  </si>
  <si>
    <t>M18562</t>
  </si>
  <si>
    <t>M18363</t>
  </si>
  <si>
    <t>A13475</t>
  </si>
  <si>
    <t>M18247</t>
  </si>
  <si>
    <t>A19795</t>
  </si>
  <si>
    <t>M18351</t>
  </si>
  <si>
    <t>A32801</t>
  </si>
  <si>
    <t>M18041</t>
  </si>
  <si>
    <t>M18393</t>
  </si>
  <si>
    <t>A15217</t>
  </si>
  <si>
    <t>M18014</t>
  </si>
  <si>
    <t>M18276</t>
  </si>
  <si>
    <t>M18259</t>
  </si>
  <si>
    <t>M18075</t>
  </si>
  <si>
    <t>A19820</t>
  </si>
  <si>
    <t>A13338</t>
  </si>
  <si>
    <t>M18511</t>
  </si>
  <si>
    <t>M18889</t>
  </si>
  <si>
    <t>M18341</t>
  </si>
  <si>
    <t>A15940</t>
  </si>
  <si>
    <t>A15497</t>
  </si>
  <si>
    <t>A14981</t>
  </si>
  <si>
    <t>A13313</t>
  </si>
  <si>
    <t>M18306</t>
  </si>
  <si>
    <t>M18573</t>
  </si>
  <si>
    <t>M18066</t>
  </si>
  <si>
    <t>M18018</t>
  </si>
  <si>
    <t>A26216</t>
  </si>
  <si>
    <t>A21336</t>
  </si>
  <si>
    <t>A13776</t>
  </si>
  <si>
    <t>M18538</t>
  </si>
  <si>
    <t>M18537</t>
  </si>
  <si>
    <t>A26215</t>
  </si>
  <si>
    <t>M18220</t>
  </si>
  <si>
    <t>M18049</t>
  </si>
  <si>
    <t>A27235</t>
  </si>
  <si>
    <t>A32359</t>
  </si>
  <si>
    <t>M18610</t>
  </si>
  <si>
    <t>A28856</t>
  </si>
  <si>
    <t>M18218</t>
  </si>
  <si>
    <t>M18362</t>
  </si>
  <si>
    <t>M18526</t>
  </si>
  <si>
    <t>M18081</t>
  </si>
  <si>
    <t>A32364</t>
  </si>
  <si>
    <t>A19776</t>
  </si>
  <si>
    <t>A24515</t>
  </si>
  <si>
    <t>M18195</t>
  </si>
  <si>
    <t>M18892</t>
  </si>
  <si>
    <t>A13343</t>
  </si>
  <si>
    <t>A13558</t>
  </si>
  <si>
    <t>M18201</t>
  </si>
  <si>
    <t>M18224</t>
  </si>
  <si>
    <t>A22780</t>
  </si>
  <si>
    <t>A13275</t>
  </si>
  <si>
    <t>M18232</t>
  </si>
  <si>
    <t>A13300</t>
  </si>
  <si>
    <t>M18180</t>
  </si>
  <si>
    <t>M18370</t>
  </si>
  <si>
    <t>M18196</t>
  </si>
  <si>
    <t>M18319</t>
  </si>
  <si>
    <t>M18888</t>
  </si>
  <si>
    <t>M18221</t>
  </si>
  <si>
    <t>M18078</t>
  </si>
  <si>
    <t>A13339</t>
  </si>
  <si>
    <t>M18286</t>
  </si>
  <si>
    <t>M18009</t>
  </si>
  <si>
    <t>A13308</t>
  </si>
  <si>
    <t>A30495</t>
  </si>
  <si>
    <t>M18038</t>
  </si>
  <si>
    <t>M18071</t>
  </si>
  <si>
    <t>M18070</t>
  </si>
  <si>
    <t>A19775</t>
  </si>
  <si>
    <t>M18283</t>
  </si>
  <si>
    <t>A26096</t>
  </si>
  <si>
    <t>M18245</t>
  </si>
  <si>
    <t>M18243</t>
  </si>
  <si>
    <t>李波</t>
  </si>
  <si>
    <t>M18222</t>
  </si>
  <si>
    <t>A18056</t>
  </si>
  <si>
    <t>A26095</t>
  </si>
  <si>
    <t>M18238</t>
  </si>
  <si>
    <t>经销商简称</t>
  </si>
  <si>
    <t>M18285</t>
  </si>
  <si>
    <t>吉林仁德</t>
  </si>
  <si>
    <t>大连众联达</t>
  </si>
  <si>
    <t>M18206</t>
  </si>
  <si>
    <t>大连华为</t>
  </si>
  <si>
    <t>唐宏宇</t>
  </si>
  <si>
    <t>辽宁旺达</t>
  </si>
  <si>
    <t>M18267</t>
  </si>
  <si>
    <t>阜新鑫鑫</t>
  </si>
  <si>
    <t>辽宁福达</t>
  </si>
  <si>
    <t>辽宁驰敖中联</t>
  </si>
  <si>
    <t>保定威达</t>
  </si>
  <si>
    <t>沧州仓安</t>
  </si>
  <si>
    <t>承德浩驰</t>
  </si>
  <si>
    <t>邯郸德骏　</t>
  </si>
  <si>
    <t>邢台蓝池跃龙</t>
  </si>
  <si>
    <t>M18069</t>
  </si>
  <si>
    <t>天津福马</t>
  </si>
  <si>
    <t>天津远大盈之马</t>
  </si>
  <si>
    <t>张家口耀祥</t>
  </si>
  <si>
    <t>山西马博士</t>
  </si>
  <si>
    <t>北京仁正利成</t>
  </si>
  <si>
    <t>北京东得</t>
  </si>
  <si>
    <t>北京瑞豪成</t>
  </si>
  <si>
    <t>北京华日通</t>
  </si>
  <si>
    <t>包头鸿燕福达</t>
  </si>
  <si>
    <t>内蒙古鸿达</t>
  </si>
  <si>
    <t>M18067</t>
  </si>
  <si>
    <t>呼伦贝尔恒润</t>
  </si>
  <si>
    <t>哈尔滨龙洋</t>
  </si>
  <si>
    <t>赤峰新雅迪</t>
  </si>
  <si>
    <t>义乌祥马</t>
  </si>
  <si>
    <t>浙江中振</t>
  </si>
  <si>
    <t>M18239</t>
  </si>
  <si>
    <t>丽水旺昌</t>
  </si>
  <si>
    <t>衢州龙达</t>
  </si>
  <si>
    <t>诸暨国赛</t>
  </si>
  <si>
    <t>绍兴国赛</t>
  </si>
  <si>
    <t>台州诺亚</t>
  </si>
  <si>
    <t>瑞安深发</t>
  </si>
  <si>
    <t>温州将军</t>
  </si>
  <si>
    <t>晏礼奎</t>
  </si>
  <si>
    <t>南通银达</t>
  </si>
  <si>
    <t>无锡东方运达</t>
  </si>
  <si>
    <t>无锡荣事达</t>
  </si>
  <si>
    <t>上海弘绅</t>
  </si>
  <si>
    <t>上海苏源</t>
  </si>
  <si>
    <t>上海景和金沙</t>
  </si>
  <si>
    <t>上海路帅</t>
  </si>
  <si>
    <t>上海交运起荣</t>
  </si>
  <si>
    <t>南京天和</t>
  </si>
  <si>
    <t>南京天瑞</t>
  </si>
  <si>
    <t>南京天辉</t>
  </si>
  <si>
    <t>A22535</t>
  </si>
  <si>
    <t>江阴吉威</t>
  </si>
  <si>
    <t>M18083</t>
  </si>
  <si>
    <t>镇江天佑</t>
  </si>
  <si>
    <t>桐乡振华</t>
  </si>
  <si>
    <t>M18520</t>
  </si>
  <si>
    <t>嘉兴禾通</t>
  </si>
  <si>
    <t>舟山凯桥</t>
  </si>
  <si>
    <t>浙江裕菲</t>
  </si>
  <si>
    <t>张晔</t>
  </si>
  <si>
    <t>杭州骏田</t>
  </si>
  <si>
    <t>浙江元通瑞达</t>
  </si>
  <si>
    <t>宁波鑫之源</t>
  </si>
  <si>
    <t>宁波万事得</t>
  </si>
  <si>
    <t>宁波鑫驰</t>
  </si>
  <si>
    <t>慈溪新亚</t>
  </si>
  <si>
    <t>宁波合辰</t>
  </si>
  <si>
    <t>常州外汽永嘉</t>
  </si>
  <si>
    <t>淮安雨田领辰</t>
  </si>
  <si>
    <t>淮安宏宇翔舜</t>
  </si>
  <si>
    <t>太仓华洋</t>
  </si>
  <si>
    <t>泰州天顺达</t>
  </si>
  <si>
    <t>泰兴天利达</t>
  </si>
  <si>
    <t>连云港报业</t>
  </si>
  <si>
    <t>钱曦</t>
  </si>
  <si>
    <t>昆山富骏</t>
  </si>
  <si>
    <t>苏州瀚龙</t>
  </si>
  <si>
    <t>M18037</t>
  </si>
  <si>
    <t>常熟豪骏</t>
  </si>
  <si>
    <t>苏州恒昌</t>
  </si>
  <si>
    <t>苏州恒合</t>
  </si>
  <si>
    <t>张家港全骏</t>
  </si>
  <si>
    <t>宿迁永泓</t>
  </si>
  <si>
    <t>盐城申大</t>
  </si>
  <si>
    <t>A13341</t>
  </si>
  <si>
    <t>佛山海迪</t>
  </si>
  <si>
    <t>佛山耀田</t>
  </si>
  <si>
    <t>佛山骏迪</t>
  </si>
  <si>
    <t>佛山智迪</t>
  </si>
  <si>
    <t>海口优之杰</t>
  </si>
  <si>
    <t>江门振宇</t>
  </si>
  <si>
    <t>宋扬</t>
  </si>
  <si>
    <t>肇庆美轮</t>
  </si>
  <si>
    <t>A13340</t>
  </si>
  <si>
    <t>中山万事得</t>
  </si>
  <si>
    <t>中山中达</t>
  </si>
  <si>
    <t>珠海新通达</t>
  </si>
  <si>
    <t>广州福马</t>
  </si>
  <si>
    <t>广东物通驭达</t>
  </si>
  <si>
    <t>广州博程</t>
  </si>
  <si>
    <t>清远骏昇</t>
  </si>
  <si>
    <t>韶关荣和通达</t>
  </si>
  <si>
    <t>A18077</t>
  </si>
  <si>
    <t>深圳通利华福滨</t>
  </si>
  <si>
    <t>深圳通利华龙城</t>
  </si>
  <si>
    <t>A28381</t>
  </si>
  <si>
    <t>潮州德隆</t>
  </si>
  <si>
    <t>张裕坤</t>
  </si>
  <si>
    <t>东莞通益</t>
  </si>
  <si>
    <t>M18055</t>
  </si>
  <si>
    <t>东莞莞泰通益</t>
  </si>
  <si>
    <t>东莞通华</t>
  </si>
  <si>
    <t>东莞久驰</t>
  </si>
  <si>
    <t>惠州通力达</t>
  </si>
  <si>
    <t>揭阳恒诚</t>
  </si>
  <si>
    <t>赣州腾马</t>
  </si>
  <si>
    <t>江西金乐玛</t>
  </si>
  <si>
    <t>M18230</t>
  </si>
  <si>
    <t>九江景润</t>
  </si>
  <si>
    <t>江西江铃海外</t>
  </si>
  <si>
    <t>上饶福铃达</t>
  </si>
  <si>
    <t>宜春驭盛</t>
  </si>
  <si>
    <t>M18051</t>
  </si>
  <si>
    <t>百色万马</t>
  </si>
  <si>
    <t>M18167</t>
  </si>
  <si>
    <t>北海瑞祥盛</t>
  </si>
  <si>
    <t>贵港万马</t>
  </si>
  <si>
    <t>桂林鑫广达博骏</t>
  </si>
  <si>
    <t>贺州均浩</t>
  </si>
  <si>
    <t>柳州鑫广达博骏</t>
  </si>
  <si>
    <t>广西鑫广达</t>
  </si>
  <si>
    <t>广西马之悦</t>
  </si>
  <si>
    <t>泉州盛成</t>
  </si>
  <si>
    <t>郴州跃马</t>
  </si>
  <si>
    <t>衡阳致瑞</t>
  </si>
  <si>
    <t>怀化恒旺</t>
  </si>
  <si>
    <t>M18242</t>
  </si>
  <si>
    <t>M18234</t>
  </si>
  <si>
    <t>永州驭马</t>
  </si>
  <si>
    <t>福州龙益</t>
  </si>
  <si>
    <t>陈建民</t>
  </si>
  <si>
    <t>M18169</t>
  </si>
  <si>
    <t>莆田龙益</t>
  </si>
  <si>
    <t>常德汇智</t>
  </si>
  <si>
    <t>M18231</t>
  </si>
  <si>
    <t>岳阳驭马</t>
  </si>
  <si>
    <t>M18235</t>
  </si>
  <si>
    <t>湖南长驰</t>
  </si>
  <si>
    <t>M18251</t>
  </si>
  <si>
    <t>长沙瑞亿达</t>
  </si>
  <si>
    <t>株洲同达</t>
  </si>
  <si>
    <t>株洲华兴</t>
  </si>
  <si>
    <t>陈莉</t>
  </si>
  <si>
    <t>兰州金岛骄马</t>
  </si>
  <si>
    <t>青海金团</t>
  </si>
  <si>
    <t>M18896</t>
  </si>
  <si>
    <t>阿克苏笑好</t>
  </si>
  <si>
    <t>M18175</t>
  </si>
  <si>
    <t>巴州四季秋林</t>
  </si>
  <si>
    <t>孔立刚</t>
  </si>
  <si>
    <t>乐山联合东升</t>
  </si>
  <si>
    <t>绵阳嘉成</t>
  </si>
  <si>
    <t>M18898</t>
  </si>
  <si>
    <t>南充创达丰</t>
  </si>
  <si>
    <t>四川西星</t>
  </si>
  <si>
    <t>四川中鹏</t>
  </si>
  <si>
    <t>贵州正合隆</t>
  </si>
  <si>
    <t>昆明京源达</t>
  </si>
  <si>
    <t>云南善为</t>
  </si>
  <si>
    <t>重庆银马</t>
  </si>
  <si>
    <t>重庆金团</t>
  </si>
  <si>
    <t>重庆万事新</t>
  </si>
  <si>
    <t>A14861</t>
  </si>
  <si>
    <t>银川瑞鼎</t>
  </si>
  <si>
    <t>蔡永生</t>
  </si>
  <si>
    <t>M18052</t>
  </si>
  <si>
    <t>咸阳伟益</t>
  </si>
  <si>
    <t>西安骏雄</t>
  </si>
  <si>
    <t>A22796</t>
  </si>
  <si>
    <t>陕西广行</t>
  </si>
  <si>
    <t>陕西骏威</t>
  </si>
  <si>
    <t>马鞍山中冠</t>
  </si>
  <si>
    <t>济宁骁华</t>
  </si>
  <si>
    <t>M18261</t>
  </si>
  <si>
    <t>聊城驭马</t>
  </si>
  <si>
    <t>日照佰世达</t>
  </si>
  <si>
    <t>M18252</t>
  </si>
  <si>
    <t>枣庄爱马行</t>
  </si>
  <si>
    <t>淄博安华</t>
  </si>
  <si>
    <t>安徽泓德</t>
  </si>
  <si>
    <t>M18270</t>
  </si>
  <si>
    <t>山东惠骋</t>
  </si>
  <si>
    <t>青岛安隆达</t>
  </si>
  <si>
    <t>青岛海昌</t>
  </si>
  <si>
    <t>潍坊东裕</t>
  </si>
  <si>
    <t>烟台泓和</t>
  </si>
  <si>
    <t>芜湖瑞马</t>
  </si>
  <si>
    <t>M18217</t>
  </si>
  <si>
    <t>宣城瑞冠</t>
  </si>
  <si>
    <t>十堰海阜</t>
  </si>
  <si>
    <t>A13265</t>
  </si>
  <si>
    <t>武汉龙泰元</t>
  </si>
  <si>
    <t>张哲</t>
  </si>
  <si>
    <t>倪超</t>
  </si>
  <si>
    <t>成都东成安邦</t>
  </si>
  <si>
    <t>安庆瑞呈</t>
  </si>
  <si>
    <t>邵传海</t>
  </si>
  <si>
    <t>祁玮</t>
  </si>
  <si>
    <t>薛仲锋</t>
  </si>
  <si>
    <t>李志杰</t>
  </si>
  <si>
    <t>A13289</t>
  </si>
  <si>
    <t>李伟</t>
  </si>
  <si>
    <t>鲁金泽</t>
  </si>
  <si>
    <t>卢冶金</t>
  </si>
  <si>
    <t>陈秋刚</t>
  </si>
  <si>
    <t>编号</t>
    <phoneticPr fontId="6" type="noConversion"/>
  </si>
  <si>
    <t>经销商代码</t>
    <phoneticPr fontId="3" type="noConversion"/>
  </si>
  <si>
    <t>服务区域经理</t>
    <phoneticPr fontId="7" type="noConversion"/>
  </si>
  <si>
    <t>新保出单</t>
    <phoneticPr fontId="6" type="noConversion"/>
  </si>
  <si>
    <t>续保出单</t>
    <phoneticPr fontId="6" type="noConversion"/>
  </si>
  <si>
    <t>续保录单</t>
    <phoneticPr fontId="6" type="noConversion"/>
  </si>
  <si>
    <t>续保 汇总</t>
    <phoneticPr fontId="6" type="noConversion"/>
  </si>
  <si>
    <t>忠诚用户(0430)</t>
    <phoneticPr fontId="6" type="noConversion"/>
  </si>
  <si>
    <t>月续保率</t>
    <phoneticPr fontId="6" type="noConversion"/>
  </si>
  <si>
    <t>M23003</t>
    <phoneticPr fontId="3" type="noConversion"/>
  </si>
  <si>
    <t>东区</t>
    <phoneticPr fontId="3" type="noConversion"/>
  </si>
  <si>
    <t>湖州长马</t>
    <phoneticPr fontId="3" type="noConversion"/>
  </si>
  <si>
    <t>深圳通利华宝安</t>
    <phoneticPr fontId="3" type="noConversion"/>
  </si>
  <si>
    <t>张裕坤</t>
    <phoneticPr fontId="3" type="noConversion"/>
  </si>
  <si>
    <t>M18922</t>
    <phoneticPr fontId="3" type="noConversion"/>
  </si>
  <si>
    <t>南一区</t>
    <phoneticPr fontId="3" type="noConversion"/>
  </si>
  <si>
    <t>东莞众强</t>
    <phoneticPr fontId="3" type="noConversion"/>
  </si>
  <si>
    <t>张裕坤</t>
    <phoneticPr fontId="7" type="noConversion"/>
  </si>
  <si>
    <t>厦门吉顺丰</t>
    <phoneticPr fontId="3" type="noConversion"/>
  </si>
  <si>
    <t>陈建民</t>
    <phoneticPr fontId="3" type="noConversion"/>
  </si>
  <si>
    <t>M18935</t>
    <phoneticPr fontId="3" type="noConversion"/>
  </si>
  <si>
    <t>南二区</t>
    <phoneticPr fontId="3" type="noConversion"/>
  </si>
  <si>
    <t>福州龙驭</t>
    <phoneticPr fontId="3" type="noConversion"/>
  </si>
  <si>
    <t>陈建民</t>
    <phoneticPr fontId="7" type="noConversion"/>
  </si>
  <si>
    <t>M18920</t>
    <phoneticPr fontId="3" type="noConversion"/>
  </si>
  <si>
    <t>漳州凯鑫</t>
    <phoneticPr fontId="3" type="noConversion"/>
  </si>
  <si>
    <t>邵阳驭马</t>
    <phoneticPr fontId="3" type="noConversion"/>
  </si>
  <si>
    <t>西区</t>
    <phoneticPr fontId="3" type="noConversion"/>
  </si>
  <si>
    <t>渭南骏广</t>
    <phoneticPr fontId="3" type="noConversion"/>
  </si>
  <si>
    <t>M18911</t>
    <phoneticPr fontId="3" type="noConversion"/>
  </si>
  <si>
    <t>伊宁笑好</t>
    <phoneticPr fontId="3" type="noConversion"/>
  </si>
  <si>
    <t>M18913</t>
    <phoneticPr fontId="3" type="noConversion"/>
  </si>
  <si>
    <t>乌鲁木齐笑好</t>
    <phoneticPr fontId="3" type="noConversion"/>
  </si>
  <si>
    <t>绵阳星鸿达</t>
    <phoneticPr fontId="3" type="noConversion"/>
  </si>
  <si>
    <t>M18912</t>
    <phoneticPr fontId="3" type="noConversion"/>
  </si>
  <si>
    <t>西藏鼎恒</t>
    <phoneticPr fontId="3" type="noConversion"/>
  </si>
  <si>
    <t>M23002</t>
    <phoneticPr fontId="3" type="noConversion"/>
  </si>
  <si>
    <t>重庆瀚达</t>
    <phoneticPr fontId="3" type="noConversion"/>
  </si>
  <si>
    <t>M18371</t>
    <phoneticPr fontId="3" type="noConversion"/>
  </si>
  <si>
    <t>M18246</t>
    <phoneticPr fontId="3" type="noConversion"/>
  </si>
  <si>
    <t>遵义乾坤</t>
    <phoneticPr fontId="3" type="noConversion"/>
  </si>
  <si>
    <t>卢冶金</t>
    <phoneticPr fontId="3" type="noConversion"/>
  </si>
  <si>
    <t>M18897</t>
    <phoneticPr fontId="3" type="noConversion"/>
  </si>
  <si>
    <t>河北郡达</t>
    <phoneticPr fontId="3" type="noConversion"/>
  </si>
  <si>
    <t>M18917</t>
    <phoneticPr fontId="3" type="noConversion"/>
  </si>
  <si>
    <t>北区</t>
    <phoneticPr fontId="3" type="noConversion"/>
  </si>
  <si>
    <t>河北桐响</t>
    <phoneticPr fontId="3" type="noConversion"/>
  </si>
  <si>
    <t>M18919</t>
    <phoneticPr fontId="3" type="noConversion"/>
  </si>
  <si>
    <t>唐山丰玮</t>
    <phoneticPr fontId="3" type="noConversion"/>
  </si>
  <si>
    <t>M23001</t>
    <phoneticPr fontId="3" type="noConversion"/>
  </si>
  <si>
    <t>佳木斯嘉达</t>
    <phoneticPr fontId="3" type="noConversion"/>
  </si>
  <si>
    <t>长春久鼎</t>
    <phoneticPr fontId="3" type="noConversion"/>
  </si>
  <si>
    <t>唐宏宇</t>
    <phoneticPr fontId="3" type="noConversion"/>
  </si>
  <si>
    <t>威海悦祥</t>
    <phoneticPr fontId="3" type="noConversion"/>
  </si>
  <si>
    <t>M18915</t>
    <phoneticPr fontId="3" type="noConversion"/>
  </si>
  <si>
    <t>中区</t>
    <phoneticPr fontId="3" type="noConversion"/>
  </si>
  <si>
    <t>临沂长驰</t>
    <phoneticPr fontId="3" type="noConversion"/>
  </si>
  <si>
    <t>M18190</t>
    <phoneticPr fontId="3" type="noConversion"/>
  </si>
  <si>
    <t>河南小伙伴</t>
    <phoneticPr fontId="3" type="noConversion"/>
  </si>
  <si>
    <t>M18328</t>
    <phoneticPr fontId="3" type="noConversion"/>
  </si>
  <si>
    <t>焦作双达</t>
    <phoneticPr fontId="3" type="noConversion"/>
  </si>
  <si>
    <t>M18265</t>
    <phoneticPr fontId="3" type="noConversion"/>
  </si>
  <si>
    <t>洛阳隆马</t>
    <phoneticPr fontId="3" type="noConversion"/>
  </si>
  <si>
    <t>M18326</t>
    <phoneticPr fontId="3" type="noConversion"/>
  </si>
  <si>
    <t>南阳兴业</t>
    <phoneticPr fontId="3" type="noConversion"/>
  </si>
  <si>
    <t>M18902</t>
    <phoneticPr fontId="3" type="noConversion"/>
  </si>
  <si>
    <t>许昌吉运</t>
    <phoneticPr fontId="3" type="noConversion"/>
  </si>
  <si>
    <t>A30536</t>
    <phoneticPr fontId="3" type="noConversion"/>
  </si>
  <si>
    <t>河南鑫马</t>
    <phoneticPr fontId="3" type="noConversion"/>
  </si>
  <si>
    <t>A22537</t>
    <phoneticPr fontId="3" type="noConversion"/>
  </si>
  <si>
    <t>阜阳广旭</t>
    <phoneticPr fontId="3" type="noConversion"/>
  </si>
  <si>
    <t>A13302</t>
    <phoneticPr fontId="3" type="noConversion"/>
  </si>
  <si>
    <t>合肥建银海康达</t>
    <phoneticPr fontId="3" type="noConversion"/>
  </si>
  <si>
    <t>M18313</t>
    <phoneticPr fontId="3" type="noConversion"/>
  </si>
  <si>
    <t>合肥贺悦</t>
    <phoneticPr fontId="3" type="noConversion"/>
  </si>
  <si>
    <t>A17997</t>
    <phoneticPr fontId="3" type="noConversion"/>
  </si>
  <si>
    <t>武汉银马</t>
    <phoneticPr fontId="3" type="noConversion"/>
  </si>
  <si>
    <t>M18617</t>
    <phoneticPr fontId="3" type="noConversion"/>
  </si>
  <si>
    <t>武汉龙泰</t>
    <phoneticPr fontId="3" type="noConversion"/>
  </si>
  <si>
    <t>M18090</t>
    <phoneticPr fontId="3" type="noConversion"/>
  </si>
  <si>
    <t>襄阳建银金马</t>
    <phoneticPr fontId="3" type="noConversion"/>
  </si>
  <si>
    <t>M18255</t>
    <phoneticPr fontId="3" type="noConversion"/>
  </si>
  <si>
    <t>孝感景帆</t>
    <phoneticPr fontId="3" type="noConversion"/>
  </si>
  <si>
    <t>A29055</t>
    <phoneticPr fontId="3" type="noConversion"/>
  </si>
  <si>
    <t>宜昌大宏</t>
    <phoneticPr fontId="3" type="noConversion"/>
  </si>
  <si>
    <t>M18927</t>
    <phoneticPr fontId="3" type="noConversion"/>
  </si>
  <si>
    <t>徐州正马</t>
    <phoneticPr fontId="3" type="noConversion"/>
  </si>
  <si>
    <t>张晔</t>
    <phoneticPr fontId="3" type="noConversion"/>
  </si>
  <si>
    <t>全国</t>
    <phoneticPr fontId="7" type="noConversion"/>
  </si>
  <si>
    <t>南区</t>
    <phoneticPr fontId="3" type="noConversion"/>
  </si>
  <si>
    <t>李波</t>
    <phoneticPr fontId="3" type="noConversion"/>
  </si>
  <si>
    <t>钱曦</t>
    <phoneticPr fontId="3" type="noConversion"/>
  </si>
  <si>
    <t>晏礼奎</t>
    <phoneticPr fontId="3" type="noConversion"/>
  </si>
  <si>
    <t>陈秋刚</t>
    <phoneticPr fontId="3" type="noConversion"/>
  </si>
  <si>
    <t>薛仲锋</t>
    <phoneticPr fontId="3" type="noConversion"/>
  </si>
  <si>
    <t>李志杰</t>
    <phoneticPr fontId="3" type="noConversion"/>
  </si>
  <si>
    <t>宋扬</t>
    <phoneticPr fontId="3" type="noConversion"/>
  </si>
  <si>
    <t>蔡永生</t>
    <phoneticPr fontId="3" type="noConversion"/>
  </si>
  <si>
    <t>陈莉</t>
    <phoneticPr fontId="3" type="noConversion"/>
  </si>
  <si>
    <t>孔立刚</t>
    <phoneticPr fontId="3" type="noConversion"/>
  </si>
  <si>
    <t>鲁金泽</t>
    <phoneticPr fontId="3" type="noConversion"/>
  </si>
  <si>
    <t>祁玮</t>
    <phoneticPr fontId="3" type="noConversion"/>
  </si>
  <si>
    <t>邵传海</t>
    <phoneticPr fontId="3" type="noConversion"/>
  </si>
  <si>
    <t>李伟</t>
    <phoneticPr fontId="3" type="noConversion"/>
  </si>
  <si>
    <t>倪超</t>
    <phoneticPr fontId="3" type="noConversion"/>
  </si>
  <si>
    <t>张哲</t>
    <phoneticPr fontId="3" type="noConversion"/>
  </si>
  <si>
    <t>25年退网</t>
    <phoneticPr fontId="3" type="noConversion"/>
  </si>
  <si>
    <t>M18507</t>
    <phoneticPr fontId="3" type="noConversion"/>
  </si>
  <si>
    <t>六安泰源</t>
    <phoneticPr fontId="3" type="noConversion"/>
  </si>
  <si>
    <t>M18323</t>
    <phoneticPr fontId="3" type="noConversion"/>
  </si>
  <si>
    <t>新乡弘森</t>
    <phoneticPr fontId="3" type="noConversion"/>
  </si>
  <si>
    <t>M18910</t>
    <phoneticPr fontId="3" type="noConversion"/>
  </si>
  <si>
    <t>喀什兴鹏</t>
    <phoneticPr fontId="3" type="noConversion"/>
  </si>
  <si>
    <t>M18121</t>
    <phoneticPr fontId="3" type="noConversion"/>
  </si>
  <si>
    <t>扬州天盛达</t>
    <phoneticPr fontId="3" type="noConversion"/>
  </si>
  <si>
    <t>M18269</t>
    <phoneticPr fontId="3" type="noConversion"/>
  </si>
  <si>
    <t>厦门亿海正旗</t>
    <phoneticPr fontId="3" type="noConversion"/>
  </si>
  <si>
    <t>A21357</t>
    <phoneticPr fontId="3" type="noConversion"/>
  </si>
  <si>
    <t>泸州安马</t>
    <phoneticPr fontId="3" type="noConversion"/>
  </si>
  <si>
    <t>M18352</t>
    <phoneticPr fontId="3" type="noConversion"/>
  </si>
  <si>
    <t>佛山广物驭达</t>
    <phoneticPr fontId="3" type="noConversion"/>
  </si>
  <si>
    <t>M18325</t>
    <phoneticPr fontId="3" type="noConversion"/>
  </si>
  <si>
    <t>商丘宝利鑫凯</t>
    <phoneticPr fontId="3" type="noConversion"/>
  </si>
  <si>
    <t>A13318</t>
    <phoneticPr fontId="3" type="noConversion"/>
  </si>
  <si>
    <t>广西鑫广达长久</t>
    <phoneticPr fontId="3" type="noConversion"/>
  </si>
  <si>
    <t>A18055</t>
    <phoneticPr fontId="3" type="noConversion"/>
  </si>
  <si>
    <t>吉林瑞祥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</si>
</sst>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indexed="8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8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Arial"/>
      <family val="2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1"/>
      <color indexed="8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4" fillId="0" borderId="0"/>
    <xf numFmtId="0" fontId="2" fillId="0" borderId="0">
      <alignment vertical="center"/>
    </xf>
    <xf numFmtId="0" fontId="13" fillId="0" borderId="0"/>
    <xf numFmtId="0" fontId="1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/>
    <xf numFmtId="0" fontId="4" fillId="0" borderId="0"/>
    <xf numFmtId="0" fontId="16" fillId="0" borderId="0"/>
    <xf numFmtId="0" fontId="1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 applyProtection="0"/>
    <xf numFmtId="0" fontId="13" fillId="0" borderId="0" applyProtection="0"/>
    <xf numFmtId="0" fontId="13" fillId="0" borderId="0" applyProtection="0">
      <alignment vertical="center"/>
    </xf>
    <xf numFmtId="0" fontId="13" fillId="0" borderId="0" applyProtection="0">
      <alignment vertical="center"/>
    </xf>
    <xf numFmtId="0" fontId="13" fillId="0" borderId="0" applyProtection="0"/>
    <xf numFmtId="0" fontId="13" fillId="0" borderId="0">
      <alignment vertical="center"/>
    </xf>
    <xf numFmtId="0" fontId="13" fillId="0" borderId="0" applyProtection="0">
      <alignment vertical="center"/>
    </xf>
    <xf numFmtId="0" fontId="17" fillId="0" borderId="0"/>
  </cellStyleXfs>
  <cellXfs count="25">
    <xf numFmtId="0" fontId="0" fillId="0" borderId="0" xfId="0">
      <alignment vertical="center"/>
    </xf>
    <xf numFmtId="9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9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NumberFormat="1" applyFont="1" applyFill="1" applyBorder="1" applyAlignment="1">
      <alignment horizontal="center" vertical="center"/>
    </xf>
    <xf numFmtId="9" fontId="10" fillId="3" borderId="3" xfId="0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/>
    </xf>
    <xf numFmtId="9" fontId="12" fillId="4" borderId="3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Alignment="1">
      <alignment horizontal="center" vertical="center"/>
    </xf>
    <xf numFmtId="0" fontId="0" fillId="0" borderId="0" xfId="0" applyBorder="1">
      <alignment vertical="center"/>
    </xf>
    <xf numFmtId="0" fontId="9" fillId="0" borderId="0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</cellXfs>
  <cellStyles count="22">
    <cellStyle name="AutoFormat-Optionen" xfId="3"/>
    <cellStyle name="Normal_dealer launch  6.9_Facility Report-M0719" xfId="4"/>
    <cellStyle name="常规" xfId="0" builtinId="0"/>
    <cellStyle name="常规 10" xfId="1"/>
    <cellStyle name="常规 10 10 2" xfId="5"/>
    <cellStyle name="常规 10 2 2 2 3 2" xfId="6"/>
    <cellStyle name="常规 104 2" xfId="7"/>
    <cellStyle name="常规 107" xfId="8"/>
    <cellStyle name="常规 121" xfId="9"/>
    <cellStyle name="常规 2" xfId="2"/>
    <cellStyle name="常规 2 2" xfId="10"/>
    <cellStyle name="常规 3" xfId="11"/>
    <cellStyle name="常规 5" xfId="12"/>
    <cellStyle name="常规 5 10 2" xfId="13"/>
    <cellStyle name="常规 5 2" xfId="14"/>
    <cellStyle name="常规 5 2 2 2" xfId="15"/>
    <cellStyle name="常规 5 2 2 2 2" xfId="16"/>
    <cellStyle name="常规 5 2 2 2 2 2 2" xfId="17"/>
    <cellStyle name="常规 5 3 2" xfId="18"/>
    <cellStyle name="常规 5 4" xfId="19"/>
    <cellStyle name="常规 5 6 2 2 2" xfId="20"/>
    <cellStyle name="常规 6" xfId="21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5&#24180;4&#26376;&#20445;&#38505;&#24179;&#21488;&#25968;&#25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统计"/>
      <sheetName val="明细"/>
      <sheetName val="Sheet1"/>
    </sheetNames>
    <sheetDataSet>
      <sheetData sheetId="0"/>
      <sheetData sheetId="1"/>
      <sheetData sheetId="2">
        <row r="3">
          <cell r="A3" t="str">
            <v>计数项:签单日期</v>
          </cell>
          <cell r="B3" t="str">
            <v>列标签</v>
          </cell>
        </row>
        <row r="4">
          <cell r="B4" t="str">
            <v>新保</v>
          </cell>
          <cell r="C4" t="str">
            <v>新保 汇总</v>
          </cell>
          <cell r="D4" t="str">
            <v>续保</v>
          </cell>
        </row>
        <row r="5">
          <cell r="A5" t="str">
            <v>行标签</v>
          </cell>
          <cell r="B5" t="str">
            <v>系统生成</v>
          </cell>
          <cell r="D5" t="str">
            <v>保单补录</v>
          </cell>
          <cell r="E5" t="str">
            <v>系统生成</v>
          </cell>
        </row>
        <row r="6">
          <cell r="A6" t="str">
            <v>安徽泓德汽车销售服务有限公司</v>
          </cell>
          <cell r="D6">
            <v>72</v>
          </cell>
          <cell r="E6">
            <v>12</v>
          </cell>
        </row>
        <row r="7">
          <cell r="A7" t="str">
            <v>A30535</v>
          </cell>
          <cell r="D7">
            <v>72</v>
          </cell>
          <cell r="E7">
            <v>12</v>
          </cell>
        </row>
        <row r="8">
          <cell r="A8" t="str">
            <v>包头市鸿燕福达汽车销售服务有限公司</v>
          </cell>
          <cell r="D8">
            <v>14</v>
          </cell>
        </row>
        <row r="9">
          <cell r="A9" t="str">
            <v>M18218</v>
          </cell>
          <cell r="D9">
            <v>14</v>
          </cell>
        </row>
        <row r="10">
          <cell r="A10" t="str">
            <v>保定市威达汽车销售服务有限公司</v>
          </cell>
          <cell r="D10">
            <v>125</v>
          </cell>
        </row>
        <row r="11">
          <cell r="A11" t="str">
            <v>M18390</v>
          </cell>
          <cell r="D11">
            <v>125</v>
          </cell>
        </row>
        <row r="12">
          <cell r="A12" t="str">
            <v>北海瑞祥盛汽车销售服务有限公司</v>
          </cell>
          <cell r="D12">
            <v>4</v>
          </cell>
        </row>
        <row r="13">
          <cell r="A13" t="str">
            <v>M18167</v>
          </cell>
          <cell r="D13">
            <v>4</v>
          </cell>
        </row>
        <row r="14">
          <cell r="A14" t="str">
            <v>北京东南得利卡汽车贸易有限公司</v>
          </cell>
          <cell r="D14">
            <v>28</v>
          </cell>
        </row>
        <row r="15">
          <cell r="A15" t="str">
            <v>M18247</v>
          </cell>
          <cell r="D15">
            <v>28</v>
          </cell>
        </row>
        <row r="16">
          <cell r="A16" t="str">
            <v>北京华日通汽车销售服务有限公司</v>
          </cell>
          <cell r="D16">
            <v>94</v>
          </cell>
        </row>
        <row r="17">
          <cell r="A17" t="str">
            <v>M18307</v>
          </cell>
          <cell r="D17">
            <v>94</v>
          </cell>
        </row>
        <row r="18">
          <cell r="A18" t="str">
            <v>北京仁正利成汽车销售服务有限公司</v>
          </cell>
          <cell r="D18">
            <v>106</v>
          </cell>
        </row>
        <row r="19">
          <cell r="A19" t="str">
            <v>M18038</v>
          </cell>
          <cell r="D19">
            <v>106</v>
          </cell>
        </row>
        <row r="20">
          <cell r="A20" t="str">
            <v>北京瑞豪成商贸有限公司</v>
          </cell>
          <cell r="D20">
            <v>77</v>
          </cell>
        </row>
        <row r="21">
          <cell r="A21" t="str">
            <v>M18306</v>
          </cell>
          <cell r="D21">
            <v>77</v>
          </cell>
        </row>
        <row r="22">
          <cell r="A22" t="str">
            <v>沧州仓安汽车销售服务有限公司</v>
          </cell>
          <cell r="D22">
            <v>24</v>
          </cell>
        </row>
        <row r="23">
          <cell r="A23" t="str">
            <v>M18897</v>
          </cell>
          <cell r="D23">
            <v>24</v>
          </cell>
        </row>
        <row r="24">
          <cell r="A24" t="str">
            <v>潮州市德隆汽车贸易有限公司</v>
          </cell>
          <cell r="D24">
            <v>19</v>
          </cell>
        </row>
        <row r="25">
          <cell r="A25" t="str">
            <v>A28381</v>
          </cell>
          <cell r="D25">
            <v>19</v>
          </cell>
        </row>
        <row r="26">
          <cell r="A26" t="str">
            <v>郴州跃马汽车销售有限公司</v>
          </cell>
          <cell r="D26">
            <v>25</v>
          </cell>
        </row>
        <row r="27">
          <cell r="A27" t="str">
            <v>M18243</v>
          </cell>
          <cell r="D27">
            <v>25</v>
          </cell>
        </row>
        <row r="28">
          <cell r="A28" t="str">
            <v>成都东成安邦汽车销售服务有限公司</v>
          </cell>
          <cell r="B28">
            <v>2</v>
          </cell>
          <cell r="C28">
            <v>2</v>
          </cell>
          <cell r="D28">
            <v>45</v>
          </cell>
          <cell r="E28">
            <v>113</v>
          </cell>
        </row>
        <row r="29">
          <cell r="A29" t="str">
            <v>A13305</v>
          </cell>
          <cell r="B29">
            <v>2</v>
          </cell>
          <cell r="C29">
            <v>2</v>
          </cell>
          <cell r="D29">
            <v>45</v>
          </cell>
          <cell r="E29">
            <v>113</v>
          </cell>
        </row>
        <row r="30">
          <cell r="A30" t="str">
            <v>赤峰新雅迪汽车销售服务有限公司</v>
          </cell>
          <cell r="D30">
            <v>47</v>
          </cell>
        </row>
        <row r="31">
          <cell r="A31" t="str">
            <v>A18056</v>
          </cell>
          <cell r="D31">
            <v>47</v>
          </cell>
        </row>
        <row r="32">
          <cell r="A32" t="str">
            <v>大连华为汽车销售服务有限公司</v>
          </cell>
          <cell r="D32">
            <v>7</v>
          </cell>
        </row>
        <row r="33">
          <cell r="A33" t="str">
            <v>M18206</v>
          </cell>
          <cell r="D33">
            <v>7</v>
          </cell>
        </row>
        <row r="34">
          <cell r="A34" t="str">
            <v>大连众联达贸易有限公司</v>
          </cell>
          <cell r="D34">
            <v>159</v>
          </cell>
        </row>
        <row r="35">
          <cell r="A35" t="str">
            <v>A13289</v>
          </cell>
          <cell r="D35">
            <v>159</v>
          </cell>
        </row>
        <row r="36">
          <cell r="A36" t="str">
            <v>东莞市久驰汽车贸易有限公司</v>
          </cell>
          <cell r="D36">
            <v>24</v>
          </cell>
        </row>
        <row r="37">
          <cell r="A37" t="str">
            <v>M18363</v>
          </cell>
          <cell r="D37">
            <v>24</v>
          </cell>
        </row>
        <row r="38">
          <cell r="A38" t="str">
            <v>佛山海迪汽车有限公司</v>
          </cell>
          <cell r="D38">
            <v>111</v>
          </cell>
          <cell r="E38">
            <v>40</v>
          </cell>
        </row>
        <row r="39">
          <cell r="A39" t="str">
            <v>A13341</v>
          </cell>
          <cell r="D39">
            <v>111</v>
          </cell>
          <cell r="E39">
            <v>40</v>
          </cell>
        </row>
        <row r="40">
          <cell r="A40" t="str">
            <v>佛山骏迪汽车有限公司</v>
          </cell>
          <cell r="D40">
            <v>97</v>
          </cell>
          <cell r="E40">
            <v>47</v>
          </cell>
        </row>
        <row r="41">
          <cell r="A41" t="str">
            <v>A21336</v>
          </cell>
          <cell r="D41">
            <v>97</v>
          </cell>
          <cell r="E41">
            <v>47</v>
          </cell>
        </row>
        <row r="42">
          <cell r="A42" t="str">
            <v>佛山市耀田汽车有限公司</v>
          </cell>
          <cell r="D42">
            <v>66</v>
          </cell>
          <cell r="E42">
            <v>74</v>
          </cell>
        </row>
        <row r="43">
          <cell r="A43" t="str">
            <v>A19820</v>
          </cell>
          <cell r="D43">
            <v>66</v>
          </cell>
          <cell r="E43">
            <v>74</v>
          </cell>
        </row>
        <row r="44">
          <cell r="A44" t="str">
            <v>佛山智迪汽车有限公司</v>
          </cell>
          <cell r="D44">
            <v>44</v>
          </cell>
          <cell r="E44">
            <v>24</v>
          </cell>
        </row>
        <row r="45">
          <cell r="A45" t="str">
            <v>M18088</v>
          </cell>
          <cell r="D45">
            <v>44</v>
          </cell>
          <cell r="E45">
            <v>24</v>
          </cell>
        </row>
        <row r="46">
          <cell r="A46" t="str">
            <v>福州龙益汽车销售服务有限公司</v>
          </cell>
          <cell r="D46">
            <v>126</v>
          </cell>
          <cell r="E46">
            <v>8</v>
          </cell>
        </row>
        <row r="47">
          <cell r="A47" t="str">
            <v>A15497</v>
          </cell>
          <cell r="D47">
            <v>126</v>
          </cell>
          <cell r="E47">
            <v>8</v>
          </cell>
        </row>
        <row r="48">
          <cell r="A48" t="str">
            <v>阜阳市广旭汽车销售服务有限公司</v>
          </cell>
          <cell r="D48">
            <v>43</v>
          </cell>
        </row>
        <row r="49">
          <cell r="A49" t="str">
            <v>A22537</v>
          </cell>
          <cell r="D49">
            <v>43</v>
          </cell>
        </row>
        <row r="50">
          <cell r="A50" t="str">
            <v>赣州腾马汽车服务有限公司</v>
          </cell>
          <cell r="D50">
            <v>196</v>
          </cell>
        </row>
        <row r="51">
          <cell r="A51" t="str">
            <v>M18118</v>
          </cell>
          <cell r="D51">
            <v>196</v>
          </cell>
        </row>
        <row r="52">
          <cell r="A52" t="str">
            <v>广东物通驭达汽车有限公司</v>
          </cell>
          <cell r="D52">
            <v>91</v>
          </cell>
        </row>
        <row r="53">
          <cell r="A53" t="str">
            <v>M18351</v>
          </cell>
          <cell r="D53">
            <v>91</v>
          </cell>
        </row>
        <row r="54">
          <cell r="A54" t="str">
            <v>广西马之悦汽车销售服务有限公司</v>
          </cell>
          <cell r="D54">
            <v>81</v>
          </cell>
          <cell r="E54">
            <v>6</v>
          </cell>
        </row>
        <row r="55">
          <cell r="A55" t="str">
            <v>M18610</v>
          </cell>
          <cell r="D55">
            <v>81</v>
          </cell>
          <cell r="E55">
            <v>6</v>
          </cell>
        </row>
        <row r="56">
          <cell r="A56" t="str">
            <v>广西鑫广达汽车销售服务有限公司</v>
          </cell>
          <cell r="D56">
            <v>173</v>
          </cell>
          <cell r="E56">
            <v>62</v>
          </cell>
        </row>
        <row r="57">
          <cell r="A57" t="str">
            <v>M18349</v>
          </cell>
          <cell r="D57">
            <v>173</v>
          </cell>
          <cell r="E57">
            <v>62</v>
          </cell>
        </row>
        <row r="58">
          <cell r="A58" t="str">
            <v>广州博程汽车有限公司</v>
          </cell>
          <cell r="D58">
            <v>180</v>
          </cell>
          <cell r="E58">
            <v>22</v>
          </cell>
        </row>
        <row r="59">
          <cell r="A59" t="str">
            <v>M18613</v>
          </cell>
          <cell r="D59">
            <v>180</v>
          </cell>
          <cell r="E59">
            <v>22</v>
          </cell>
        </row>
        <row r="60">
          <cell r="A60" t="str">
            <v>广州市福马汽车销售服务有限公司</v>
          </cell>
          <cell r="D60">
            <v>149</v>
          </cell>
        </row>
        <row r="61">
          <cell r="A61" t="str">
            <v>M18224</v>
          </cell>
          <cell r="D61">
            <v>149</v>
          </cell>
        </row>
        <row r="62">
          <cell r="A62" t="str">
            <v>贵港万马汽车销售服务有限公司</v>
          </cell>
          <cell r="D62">
            <v>1</v>
          </cell>
        </row>
        <row r="63">
          <cell r="A63" t="str">
            <v>M18221</v>
          </cell>
          <cell r="D63">
            <v>1</v>
          </cell>
        </row>
        <row r="64">
          <cell r="A64" t="str">
            <v>贵州正合隆汽车销售有限公司</v>
          </cell>
          <cell r="D64">
            <v>28</v>
          </cell>
        </row>
        <row r="65">
          <cell r="A65" t="str">
            <v>M18371</v>
          </cell>
          <cell r="D65">
            <v>28</v>
          </cell>
        </row>
        <row r="66">
          <cell r="A66" t="str">
            <v>桂林鑫广达博骏汽车销售服务有限公司</v>
          </cell>
          <cell r="D66">
            <v>162</v>
          </cell>
        </row>
        <row r="67">
          <cell r="A67" t="str">
            <v>M18009</v>
          </cell>
          <cell r="D67">
            <v>162</v>
          </cell>
        </row>
        <row r="68">
          <cell r="A68" t="str">
            <v>哈尔滨龙洋汽车销售有限公司</v>
          </cell>
          <cell r="D68">
            <v>166</v>
          </cell>
          <cell r="E68">
            <v>1</v>
          </cell>
        </row>
        <row r="69">
          <cell r="A69" t="str">
            <v>A17995</v>
          </cell>
          <cell r="D69">
            <v>166</v>
          </cell>
          <cell r="E69">
            <v>1</v>
          </cell>
        </row>
        <row r="70">
          <cell r="A70" t="str">
            <v>海口优之杰汽车服务有限公司</v>
          </cell>
          <cell r="D70">
            <v>311</v>
          </cell>
        </row>
        <row r="71">
          <cell r="A71" t="str">
            <v>A13314</v>
          </cell>
          <cell r="D71">
            <v>311</v>
          </cell>
        </row>
        <row r="72">
          <cell r="A72" t="str">
            <v>邯郸德骏汽车销售有限公司</v>
          </cell>
          <cell r="D72">
            <v>48</v>
          </cell>
        </row>
        <row r="73">
          <cell r="A73" t="str">
            <v>M18297</v>
          </cell>
          <cell r="D73">
            <v>48</v>
          </cell>
        </row>
        <row r="74">
          <cell r="A74" t="str">
            <v>杭州骏田汽车有限公司</v>
          </cell>
          <cell r="D74">
            <v>321</v>
          </cell>
        </row>
        <row r="75">
          <cell r="A75" t="str">
            <v>A15217</v>
          </cell>
          <cell r="D75">
            <v>321</v>
          </cell>
        </row>
        <row r="76">
          <cell r="A76" t="str">
            <v>合肥建银海康达汽车销售有限公司</v>
          </cell>
          <cell r="D76">
            <v>186</v>
          </cell>
        </row>
        <row r="77">
          <cell r="A77" t="str">
            <v>A13302</v>
          </cell>
          <cell r="D77">
            <v>186</v>
          </cell>
        </row>
        <row r="78">
          <cell r="A78" t="str">
            <v>合肥市贺悦汽车销售服务有限公司</v>
          </cell>
          <cell r="D78">
            <v>60</v>
          </cell>
        </row>
        <row r="79">
          <cell r="A79" t="str">
            <v>M18313</v>
          </cell>
          <cell r="D79">
            <v>60</v>
          </cell>
        </row>
        <row r="80">
          <cell r="A80" t="str">
            <v>河北郡达汽车贸易有限公司</v>
          </cell>
          <cell r="D80">
            <v>93</v>
          </cell>
        </row>
        <row r="81">
          <cell r="A81" t="str">
            <v>A13279</v>
          </cell>
          <cell r="D81">
            <v>93</v>
          </cell>
        </row>
        <row r="82">
          <cell r="A82" t="str">
            <v>河南小伙伴汽车销售有限公司</v>
          </cell>
          <cell r="D82">
            <v>99</v>
          </cell>
          <cell r="E82">
            <v>24</v>
          </cell>
        </row>
        <row r="83">
          <cell r="A83" t="str">
            <v>M18190</v>
          </cell>
          <cell r="D83">
            <v>99</v>
          </cell>
          <cell r="E83">
            <v>24</v>
          </cell>
        </row>
        <row r="84">
          <cell r="A84" t="str">
            <v>河南鑫马汽车销售服务有限公司</v>
          </cell>
          <cell r="D84">
            <v>35</v>
          </cell>
          <cell r="E84">
            <v>2</v>
          </cell>
        </row>
        <row r="85">
          <cell r="A85" t="str">
            <v>A30536</v>
          </cell>
          <cell r="D85">
            <v>35</v>
          </cell>
          <cell r="E85">
            <v>2</v>
          </cell>
        </row>
        <row r="86">
          <cell r="A86" t="str">
            <v>贺州市均浩汽车销售有限公司</v>
          </cell>
          <cell r="D86">
            <v>51</v>
          </cell>
        </row>
        <row r="87">
          <cell r="A87" t="str">
            <v>M18201</v>
          </cell>
          <cell r="D87">
            <v>51</v>
          </cell>
        </row>
        <row r="88">
          <cell r="A88" t="str">
            <v>湖南长驰长马汽车销售服务有限公司</v>
          </cell>
          <cell r="D88">
            <v>50</v>
          </cell>
        </row>
        <row r="89">
          <cell r="A89" t="str">
            <v>M18235</v>
          </cell>
          <cell r="D89">
            <v>50</v>
          </cell>
        </row>
        <row r="90">
          <cell r="A90" t="str">
            <v>湖州长马汽车销售服务有限公司</v>
          </cell>
          <cell r="D90">
            <v>82</v>
          </cell>
        </row>
        <row r="91">
          <cell r="A91" t="str">
            <v>M23003</v>
          </cell>
          <cell r="D91">
            <v>82</v>
          </cell>
        </row>
        <row r="92">
          <cell r="A92" t="str">
            <v>淮安市宏宇翔舜汽车销售服务有限公司</v>
          </cell>
          <cell r="B92">
            <v>10</v>
          </cell>
          <cell r="C92">
            <v>10</v>
          </cell>
          <cell r="D92">
            <v>111</v>
          </cell>
          <cell r="E92">
            <v>6</v>
          </cell>
        </row>
        <row r="93">
          <cell r="A93" t="str">
            <v>M18331</v>
          </cell>
          <cell r="B93">
            <v>10</v>
          </cell>
          <cell r="C93">
            <v>10</v>
          </cell>
          <cell r="D93">
            <v>111</v>
          </cell>
          <cell r="E93">
            <v>6</v>
          </cell>
        </row>
        <row r="94">
          <cell r="A94" t="str">
            <v>吉林省仁德汽车销售服务有限公司</v>
          </cell>
          <cell r="D94">
            <v>170</v>
          </cell>
        </row>
        <row r="95">
          <cell r="A95" t="str">
            <v>M18285</v>
          </cell>
          <cell r="D95">
            <v>170</v>
          </cell>
        </row>
        <row r="96">
          <cell r="A96" t="str">
            <v>吉林省瑞祥汽车销售服务有限公司</v>
          </cell>
          <cell r="D96">
            <v>93</v>
          </cell>
        </row>
        <row r="97">
          <cell r="A97" t="str">
            <v>A18055</v>
          </cell>
          <cell r="D97">
            <v>93</v>
          </cell>
        </row>
        <row r="98">
          <cell r="A98" t="str">
            <v>济宁骁华汽车销售服务有限公司</v>
          </cell>
          <cell r="D98">
            <v>63</v>
          </cell>
          <cell r="E98">
            <v>47</v>
          </cell>
        </row>
        <row r="99">
          <cell r="A99" t="str">
            <v>M18128</v>
          </cell>
          <cell r="D99">
            <v>63</v>
          </cell>
          <cell r="E99">
            <v>47</v>
          </cell>
        </row>
        <row r="100">
          <cell r="A100" t="str">
            <v>江门市振宇汽车销售服务有限公司</v>
          </cell>
          <cell r="D100">
            <v>142</v>
          </cell>
        </row>
        <row r="101">
          <cell r="A101" t="str">
            <v>A14981</v>
          </cell>
          <cell r="D101">
            <v>142</v>
          </cell>
        </row>
        <row r="102">
          <cell r="A102" t="str">
            <v>江西江铃海外马自达汽车销售服务有限公司</v>
          </cell>
          <cell r="D102">
            <v>88</v>
          </cell>
          <cell r="E102">
            <v>2</v>
          </cell>
        </row>
        <row r="103">
          <cell r="A103" t="str">
            <v>A13258</v>
          </cell>
          <cell r="D103">
            <v>88</v>
          </cell>
          <cell r="E103">
            <v>2</v>
          </cell>
        </row>
        <row r="104">
          <cell r="A104" t="str">
            <v>江西金乐玛汽车销售服务有限公司</v>
          </cell>
          <cell r="D104">
            <v>87</v>
          </cell>
        </row>
        <row r="105">
          <cell r="A105" t="str">
            <v>M18138</v>
          </cell>
          <cell r="D105">
            <v>87</v>
          </cell>
        </row>
        <row r="106">
          <cell r="A106" t="str">
            <v>焦作双达汽车销售服务有限公司</v>
          </cell>
          <cell r="B106">
            <v>1</v>
          </cell>
          <cell r="C106">
            <v>1</v>
          </cell>
          <cell r="D106">
            <v>50</v>
          </cell>
          <cell r="E106">
            <v>12</v>
          </cell>
        </row>
        <row r="107">
          <cell r="A107" t="str">
            <v>M18328</v>
          </cell>
          <cell r="B107">
            <v>1</v>
          </cell>
          <cell r="C107">
            <v>1</v>
          </cell>
          <cell r="D107">
            <v>50</v>
          </cell>
          <cell r="E107">
            <v>12</v>
          </cell>
        </row>
        <row r="108">
          <cell r="A108" t="str">
            <v>揭阳恒诚汽车贸易有限公司</v>
          </cell>
          <cell r="D108">
            <v>37</v>
          </cell>
        </row>
        <row r="109">
          <cell r="A109" t="str">
            <v>A26216</v>
          </cell>
          <cell r="D109">
            <v>37</v>
          </cell>
        </row>
        <row r="110">
          <cell r="A110" t="str">
            <v>九江景润汽车销售服务有限公司</v>
          </cell>
          <cell r="D110">
            <v>9</v>
          </cell>
        </row>
        <row r="111">
          <cell r="A111" t="str">
            <v>M18230</v>
          </cell>
          <cell r="D111">
            <v>9</v>
          </cell>
        </row>
        <row r="112">
          <cell r="A112" t="str">
            <v>昆明京源达汽车销售有限责任公司</v>
          </cell>
          <cell r="D112">
            <v>200</v>
          </cell>
        </row>
        <row r="113">
          <cell r="A113" t="str">
            <v>A15940</v>
          </cell>
          <cell r="D113">
            <v>200</v>
          </cell>
        </row>
        <row r="114">
          <cell r="A114" t="str">
            <v>昆山富骏汽车销售服务有限公司</v>
          </cell>
          <cell r="B114">
            <v>14</v>
          </cell>
          <cell r="C114">
            <v>14</v>
          </cell>
          <cell r="D114">
            <v>164</v>
          </cell>
        </row>
        <row r="115">
          <cell r="A115" t="str">
            <v>A13544</v>
          </cell>
          <cell r="B115">
            <v>14</v>
          </cell>
          <cell r="C115">
            <v>14</v>
          </cell>
          <cell r="D115">
            <v>164</v>
          </cell>
        </row>
        <row r="116">
          <cell r="A116" t="str">
            <v>兰州金岛骄马汽车销售有限公司</v>
          </cell>
          <cell r="D116">
            <v>69</v>
          </cell>
        </row>
        <row r="117">
          <cell r="A117" t="str">
            <v>M18370</v>
          </cell>
          <cell r="D117">
            <v>69</v>
          </cell>
        </row>
        <row r="118">
          <cell r="A118" t="str">
            <v>乐山市联合东升汽车销售服务有限公司</v>
          </cell>
          <cell r="D118">
            <v>85</v>
          </cell>
          <cell r="E118">
            <v>8</v>
          </cell>
        </row>
        <row r="119">
          <cell r="A119" t="str">
            <v>A26218</v>
          </cell>
          <cell r="D119">
            <v>85</v>
          </cell>
          <cell r="E119">
            <v>8</v>
          </cell>
        </row>
        <row r="120">
          <cell r="A120" t="str">
            <v>连云港报业汽车销售服务有限公司</v>
          </cell>
          <cell r="D120">
            <v>71</v>
          </cell>
        </row>
        <row r="121">
          <cell r="A121" t="str">
            <v>A19775</v>
          </cell>
          <cell r="D121">
            <v>71</v>
          </cell>
        </row>
        <row r="122">
          <cell r="A122" t="str">
            <v>辽宁驰敖中联汽车销售服务有限公司</v>
          </cell>
          <cell r="D122">
            <v>241</v>
          </cell>
        </row>
        <row r="123">
          <cell r="A123" t="str">
            <v>M18892</v>
          </cell>
          <cell r="D123">
            <v>241</v>
          </cell>
        </row>
        <row r="124">
          <cell r="A124" t="str">
            <v>辽宁旺达汽车销售服务有限公司</v>
          </cell>
          <cell r="D124">
            <v>65</v>
          </cell>
        </row>
        <row r="125">
          <cell r="A125" t="str">
            <v>A32801</v>
          </cell>
          <cell r="D125">
            <v>65</v>
          </cell>
        </row>
        <row r="126">
          <cell r="A126" t="str">
            <v>聊城驭马汽车销售服务有限公司</v>
          </cell>
          <cell r="D126">
            <v>10</v>
          </cell>
        </row>
        <row r="127">
          <cell r="A127" t="str">
            <v>M18261</v>
          </cell>
          <cell r="D127">
            <v>10</v>
          </cell>
        </row>
        <row r="128">
          <cell r="A128" t="str">
            <v>柳州鑫广达博骏汽车销售服务有限公司</v>
          </cell>
          <cell r="D128">
            <v>99</v>
          </cell>
          <cell r="E128">
            <v>54</v>
          </cell>
        </row>
        <row r="129">
          <cell r="A129" t="str">
            <v>A15116</v>
          </cell>
          <cell r="D129">
            <v>99</v>
          </cell>
          <cell r="E129">
            <v>54</v>
          </cell>
        </row>
        <row r="130">
          <cell r="A130" t="str">
            <v>泸州安马车业有限公司</v>
          </cell>
          <cell r="D130">
            <v>37</v>
          </cell>
        </row>
        <row r="131">
          <cell r="A131" t="str">
            <v>A21357</v>
          </cell>
          <cell r="D131">
            <v>37</v>
          </cell>
        </row>
        <row r="132">
          <cell r="A132" t="str">
            <v>洛阳隆马汽车销售服务有限公司</v>
          </cell>
          <cell r="D132">
            <v>29</v>
          </cell>
        </row>
        <row r="133">
          <cell r="A133" t="str">
            <v>M18265</v>
          </cell>
          <cell r="D133">
            <v>29</v>
          </cell>
        </row>
        <row r="134">
          <cell r="A134" t="str">
            <v>马鞍山中冠汽车销售服务有限公司</v>
          </cell>
          <cell r="D134">
            <v>47</v>
          </cell>
          <cell r="E134">
            <v>35</v>
          </cell>
        </row>
        <row r="135">
          <cell r="A135" t="str">
            <v>A32359</v>
          </cell>
          <cell r="D135">
            <v>47</v>
          </cell>
          <cell r="E135">
            <v>35</v>
          </cell>
        </row>
        <row r="136">
          <cell r="A136" t="str">
            <v>南充创达丰汽车服务有限公司</v>
          </cell>
          <cell r="B136">
            <v>3</v>
          </cell>
          <cell r="C136">
            <v>3</v>
          </cell>
          <cell r="D136">
            <v>12</v>
          </cell>
          <cell r="E136">
            <v>5</v>
          </cell>
        </row>
        <row r="137">
          <cell r="A137" t="str">
            <v>M18898</v>
          </cell>
          <cell r="B137">
            <v>3</v>
          </cell>
          <cell r="C137">
            <v>3</v>
          </cell>
          <cell r="D137">
            <v>12</v>
          </cell>
          <cell r="E137">
            <v>5</v>
          </cell>
        </row>
        <row r="138">
          <cell r="A138" t="str">
            <v>南京天和汽车销售服务有限公司</v>
          </cell>
          <cell r="D138">
            <v>270</v>
          </cell>
        </row>
        <row r="139">
          <cell r="A139" t="str">
            <v>A13291</v>
          </cell>
          <cell r="D139">
            <v>270</v>
          </cell>
        </row>
        <row r="140">
          <cell r="A140" t="str">
            <v>南京天辉汽车销售服务有限公司</v>
          </cell>
          <cell r="D140">
            <v>107</v>
          </cell>
        </row>
        <row r="141">
          <cell r="A141" t="str">
            <v>M18180</v>
          </cell>
          <cell r="D141">
            <v>107</v>
          </cell>
        </row>
        <row r="142">
          <cell r="A142" t="str">
            <v>南京天瑞汽车销售服务有限公司</v>
          </cell>
          <cell r="D142">
            <v>166</v>
          </cell>
          <cell r="E142">
            <v>1</v>
          </cell>
        </row>
        <row r="143">
          <cell r="A143" t="str">
            <v>M18026</v>
          </cell>
          <cell r="D143">
            <v>166</v>
          </cell>
          <cell r="E143">
            <v>1</v>
          </cell>
        </row>
        <row r="144">
          <cell r="A144" t="str">
            <v>南通银达汽车销售服务有限公司</v>
          </cell>
          <cell r="B144">
            <v>1</v>
          </cell>
          <cell r="C144">
            <v>1</v>
          </cell>
          <cell r="D144">
            <v>123</v>
          </cell>
          <cell r="E144">
            <v>21</v>
          </cell>
        </row>
        <row r="145">
          <cell r="A145" t="str">
            <v>M18539</v>
          </cell>
          <cell r="B145">
            <v>1</v>
          </cell>
          <cell r="C145">
            <v>1</v>
          </cell>
          <cell r="D145">
            <v>123</v>
          </cell>
          <cell r="E145">
            <v>21</v>
          </cell>
        </row>
        <row r="146">
          <cell r="A146" t="str">
            <v>南阳兴业汽车销售服务有限公司</v>
          </cell>
          <cell r="B146">
            <v>1</v>
          </cell>
          <cell r="C146">
            <v>1</v>
          </cell>
          <cell r="D146">
            <v>56</v>
          </cell>
          <cell r="E146">
            <v>1</v>
          </cell>
        </row>
        <row r="147">
          <cell r="A147" t="str">
            <v>M18326</v>
          </cell>
          <cell r="B147">
            <v>1</v>
          </cell>
          <cell r="C147">
            <v>1</v>
          </cell>
          <cell r="D147">
            <v>56</v>
          </cell>
          <cell r="E147">
            <v>1</v>
          </cell>
        </row>
        <row r="148">
          <cell r="A148" t="str">
            <v>内蒙古鸿达汽车销售服务有限公司</v>
          </cell>
          <cell r="B148">
            <v>17</v>
          </cell>
          <cell r="C148">
            <v>17</v>
          </cell>
          <cell r="D148">
            <v>18</v>
          </cell>
          <cell r="E148">
            <v>32</v>
          </cell>
        </row>
        <row r="149">
          <cell r="A149" t="str">
            <v>M18095</v>
          </cell>
          <cell r="B149">
            <v>17</v>
          </cell>
          <cell r="C149">
            <v>17</v>
          </cell>
          <cell r="D149">
            <v>18</v>
          </cell>
          <cell r="E149">
            <v>32</v>
          </cell>
        </row>
        <row r="150">
          <cell r="A150" t="str">
            <v>宁波合辰汽车销售服务有限公司</v>
          </cell>
          <cell r="D150">
            <v>114</v>
          </cell>
          <cell r="E150">
            <v>10</v>
          </cell>
        </row>
        <row r="151">
          <cell r="A151" t="str">
            <v>M18519</v>
          </cell>
          <cell r="D151">
            <v>114</v>
          </cell>
          <cell r="E151">
            <v>10</v>
          </cell>
        </row>
        <row r="152">
          <cell r="A152" t="str">
            <v>宁波鑫之源汽车有限公司</v>
          </cell>
          <cell r="D152">
            <v>262</v>
          </cell>
          <cell r="E152">
            <v>3</v>
          </cell>
        </row>
        <row r="153">
          <cell r="A153" t="str">
            <v>A13311</v>
          </cell>
          <cell r="D153">
            <v>262</v>
          </cell>
          <cell r="E153">
            <v>3</v>
          </cell>
        </row>
        <row r="154">
          <cell r="A154" t="str">
            <v>青岛安隆达汽车销售有限公司</v>
          </cell>
          <cell r="D154">
            <v>139</v>
          </cell>
          <cell r="E154">
            <v>11</v>
          </cell>
        </row>
        <row r="155">
          <cell r="A155" t="str">
            <v>A27896</v>
          </cell>
          <cell r="D155">
            <v>139</v>
          </cell>
          <cell r="E155">
            <v>11</v>
          </cell>
        </row>
        <row r="156">
          <cell r="A156" t="str">
            <v>青岛海昌汽车销售有限公司</v>
          </cell>
          <cell r="D156">
            <v>42</v>
          </cell>
          <cell r="E156">
            <v>6</v>
          </cell>
        </row>
        <row r="157">
          <cell r="A157" t="str">
            <v>M18195</v>
          </cell>
          <cell r="D157">
            <v>42</v>
          </cell>
          <cell r="E157">
            <v>6</v>
          </cell>
        </row>
        <row r="158">
          <cell r="A158" t="str">
            <v>青海金团汽车销售服务有限公司</v>
          </cell>
          <cell r="D158">
            <v>61</v>
          </cell>
        </row>
        <row r="159">
          <cell r="A159" t="str">
            <v>M18888</v>
          </cell>
          <cell r="D159">
            <v>61</v>
          </cell>
        </row>
        <row r="160">
          <cell r="A160" t="str">
            <v>清远市骏昇汽车销售服务有限公司</v>
          </cell>
          <cell r="D160">
            <v>59</v>
          </cell>
          <cell r="E160">
            <v>1</v>
          </cell>
        </row>
        <row r="161">
          <cell r="A161" t="str">
            <v>A28858</v>
          </cell>
          <cell r="D161">
            <v>59</v>
          </cell>
          <cell r="E161">
            <v>1</v>
          </cell>
        </row>
        <row r="162">
          <cell r="A162" t="str">
            <v>衢州龙达汽车销售服务有限公司</v>
          </cell>
          <cell r="D162">
            <v>89</v>
          </cell>
        </row>
        <row r="163">
          <cell r="A163" t="str">
            <v>A19795</v>
          </cell>
          <cell r="D163">
            <v>89</v>
          </cell>
        </row>
        <row r="164">
          <cell r="A164" t="str">
            <v>泉州盛成汽车销售服务有限公司</v>
          </cell>
          <cell r="D164">
            <v>17</v>
          </cell>
        </row>
        <row r="165">
          <cell r="A165" t="str">
            <v>M18081</v>
          </cell>
          <cell r="D165">
            <v>17</v>
          </cell>
        </row>
        <row r="166">
          <cell r="A166" t="str">
            <v>日照市佰世达汽车销售服务有限公司</v>
          </cell>
          <cell r="D166">
            <v>29</v>
          </cell>
          <cell r="E166">
            <v>2</v>
          </cell>
        </row>
        <row r="167">
          <cell r="A167" t="str">
            <v>M18286</v>
          </cell>
          <cell r="D167">
            <v>29</v>
          </cell>
          <cell r="E167">
            <v>2</v>
          </cell>
        </row>
        <row r="168">
          <cell r="A168" t="str">
            <v>厦门吉顺丰汽车贸易有限公司</v>
          </cell>
          <cell r="D168">
            <v>92</v>
          </cell>
          <cell r="E168">
            <v>14</v>
          </cell>
        </row>
        <row r="169">
          <cell r="A169" t="str">
            <v>M18353</v>
          </cell>
          <cell r="D169">
            <v>92</v>
          </cell>
          <cell r="E169">
            <v>14</v>
          </cell>
        </row>
        <row r="170">
          <cell r="A170" t="str">
            <v>厦门市亿海正旗汽车销售服务有限公司</v>
          </cell>
          <cell r="D170">
            <v>60</v>
          </cell>
        </row>
        <row r="171">
          <cell r="A171" t="str">
            <v>M18269</v>
          </cell>
          <cell r="D171">
            <v>60</v>
          </cell>
        </row>
        <row r="172">
          <cell r="A172" t="str">
            <v>山东惠骋汽车贸易有限公司</v>
          </cell>
          <cell r="D172">
            <v>181</v>
          </cell>
        </row>
        <row r="173">
          <cell r="A173" t="str">
            <v>M18270</v>
          </cell>
          <cell r="D173">
            <v>181</v>
          </cell>
        </row>
        <row r="174">
          <cell r="A174" t="str">
            <v>山西马博士汽车销售有限公司</v>
          </cell>
          <cell r="B174">
            <v>2</v>
          </cell>
          <cell r="C174">
            <v>2</v>
          </cell>
          <cell r="D174">
            <v>90</v>
          </cell>
          <cell r="E174">
            <v>7</v>
          </cell>
        </row>
        <row r="175">
          <cell r="A175" t="str">
            <v>M18099</v>
          </cell>
          <cell r="B175">
            <v>2</v>
          </cell>
          <cell r="C175">
            <v>2</v>
          </cell>
          <cell r="D175">
            <v>90</v>
          </cell>
          <cell r="E175">
            <v>7</v>
          </cell>
        </row>
        <row r="176">
          <cell r="A176" t="str">
            <v>陕西广行汽车销售服务有限公司</v>
          </cell>
          <cell r="D176">
            <v>240</v>
          </cell>
        </row>
        <row r="177">
          <cell r="A177" t="str">
            <v>A22796</v>
          </cell>
          <cell r="D177">
            <v>240</v>
          </cell>
        </row>
        <row r="178">
          <cell r="A178" t="str">
            <v>陕西骏威汽车销售服务有限公司</v>
          </cell>
          <cell r="D178">
            <v>146</v>
          </cell>
        </row>
        <row r="179">
          <cell r="A179" t="str">
            <v>M18196</v>
          </cell>
          <cell r="D179">
            <v>146</v>
          </cell>
        </row>
        <row r="180">
          <cell r="A180" t="str">
            <v>上海弘绅汽车销售服务有限公司</v>
          </cell>
          <cell r="B180">
            <v>4</v>
          </cell>
          <cell r="C180">
            <v>4</v>
          </cell>
          <cell r="D180">
            <v>5</v>
          </cell>
        </row>
        <row r="181">
          <cell r="A181" t="str">
            <v>A24515</v>
          </cell>
          <cell r="B181">
            <v>4</v>
          </cell>
          <cell r="C181">
            <v>4</v>
          </cell>
          <cell r="D181">
            <v>5</v>
          </cell>
        </row>
        <row r="182">
          <cell r="A182" t="str">
            <v>上海交运起荣汽车销售服务有限公司</v>
          </cell>
          <cell r="B182">
            <v>18</v>
          </cell>
          <cell r="C182">
            <v>18</v>
          </cell>
          <cell r="D182">
            <v>78</v>
          </cell>
          <cell r="E182">
            <v>23</v>
          </cell>
        </row>
        <row r="183">
          <cell r="A183" t="str">
            <v>M18538</v>
          </cell>
          <cell r="B183">
            <v>18</v>
          </cell>
          <cell r="C183">
            <v>18</v>
          </cell>
          <cell r="D183">
            <v>78</v>
          </cell>
          <cell r="E183">
            <v>23</v>
          </cell>
        </row>
        <row r="184">
          <cell r="A184" t="str">
            <v>上海景和金沙汽车销售有限公司</v>
          </cell>
          <cell r="D184">
            <v>5</v>
          </cell>
        </row>
        <row r="185">
          <cell r="A185" t="str">
            <v>M18526</v>
          </cell>
          <cell r="D185">
            <v>5</v>
          </cell>
        </row>
        <row r="186">
          <cell r="A186" t="str">
            <v>上海路帅汽车销售有限公司</v>
          </cell>
          <cell r="B186">
            <v>2</v>
          </cell>
          <cell r="C186">
            <v>2</v>
          </cell>
          <cell r="D186">
            <v>64</v>
          </cell>
        </row>
        <row r="187">
          <cell r="A187" t="str">
            <v>M18537</v>
          </cell>
          <cell r="B187">
            <v>2</v>
          </cell>
          <cell r="C187">
            <v>2</v>
          </cell>
          <cell r="D187">
            <v>64</v>
          </cell>
        </row>
        <row r="188">
          <cell r="A188" t="str">
            <v>上海苏源汽车销售服务有限公司</v>
          </cell>
          <cell r="B188">
            <v>6</v>
          </cell>
          <cell r="C188">
            <v>6</v>
          </cell>
          <cell r="D188">
            <v>39</v>
          </cell>
          <cell r="E188">
            <v>41</v>
          </cell>
        </row>
        <row r="189">
          <cell r="A189" t="str">
            <v>M18220</v>
          </cell>
          <cell r="B189">
            <v>6</v>
          </cell>
          <cell r="C189">
            <v>6</v>
          </cell>
          <cell r="D189">
            <v>39</v>
          </cell>
          <cell r="E189">
            <v>41</v>
          </cell>
        </row>
        <row r="190">
          <cell r="A190" t="str">
            <v>邵阳驭马汽车销售服务有限公司</v>
          </cell>
          <cell r="D190">
            <v>62</v>
          </cell>
        </row>
        <row r="191">
          <cell r="A191" t="str">
            <v>M18242</v>
          </cell>
          <cell r="D191">
            <v>62</v>
          </cell>
        </row>
        <row r="192">
          <cell r="A192" t="str">
            <v>绍兴国赛汽车有限公司</v>
          </cell>
          <cell r="D192">
            <v>94</v>
          </cell>
          <cell r="E192">
            <v>3</v>
          </cell>
        </row>
        <row r="193">
          <cell r="A193" t="str">
            <v>M18041</v>
          </cell>
          <cell r="D193">
            <v>94</v>
          </cell>
          <cell r="E193">
            <v>3</v>
          </cell>
        </row>
        <row r="194">
          <cell r="A194" t="str">
            <v>深圳通利华福滨汽车服务有限公司</v>
          </cell>
          <cell r="D194">
            <v>133</v>
          </cell>
        </row>
        <row r="195">
          <cell r="A195" t="str">
            <v>A18077</v>
          </cell>
          <cell r="D195">
            <v>133</v>
          </cell>
        </row>
        <row r="196">
          <cell r="A196" t="str">
            <v>十堰海阜汽车销售服务有限公司</v>
          </cell>
          <cell r="D196">
            <v>62</v>
          </cell>
          <cell r="E196">
            <v>16</v>
          </cell>
        </row>
        <row r="197">
          <cell r="A197" t="str">
            <v>M18160</v>
          </cell>
          <cell r="D197">
            <v>62</v>
          </cell>
          <cell r="E197">
            <v>16</v>
          </cell>
        </row>
        <row r="198">
          <cell r="A198" t="str">
            <v>四川西星实业发展有限公司</v>
          </cell>
          <cell r="D198">
            <v>87</v>
          </cell>
          <cell r="E198">
            <v>39</v>
          </cell>
        </row>
        <row r="199">
          <cell r="A199" t="str">
            <v>M18131</v>
          </cell>
          <cell r="D199">
            <v>87</v>
          </cell>
          <cell r="E199">
            <v>39</v>
          </cell>
        </row>
        <row r="200">
          <cell r="A200" t="str">
            <v>四川中鹏汽车销售服务有限公司</v>
          </cell>
          <cell r="D200">
            <v>150</v>
          </cell>
          <cell r="E200">
            <v>18</v>
          </cell>
        </row>
        <row r="201">
          <cell r="A201" t="str">
            <v>M18561</v>
          </cell>
          <cell r="D201">
            <v>150</v>
          </cell>
          <cell r="E201">
            <v>18</v>
          </cell>
        </row>
        <row r="202">
          <cell r="A202" t="str">
            <v>苏州瀚龙汽车销售有限公司</v>
          </cell>
          <cell r="D202">
            <v>116</v>
          </cell>
        </row>
        <row r="203">
          <cell r="A203" t="str">
            <v>A17996</v>
          </cell>
          <cell r="D203">
            <v>116</v>
          </cell>
        </row>
        <row r="204">
          <cell r="A204" t="str">
            <v>苏州恒昌汽车销售有限公司</v>
          </cell>
          <cell r="D204">
            <v>166</v>
          </cell>
        </row>
        <row r="205">
          <cell r="A205" t="str">
            <v>M18075</v>
          </cell>
          <cell r="D205">
            <v>166</v>
          </cell>
        </row>
        <row r="206">
          <cell r="A206" t="str">
            <v>苏州恒合汽车销售有限公司</v>
          </cell>
          <cell r="B206">
            <v>7</v>
          </cell>
          <cell r="C206">
            <v>7</v>
          </cell>
          <cell r="D206">
            <v>110</v>
          </cell>
        </row>
        <row r="207">
          <cell r="A207" t="str">
            <v>M18105</v>
          </cell>
          <cell r="B207">
            <v>7</v>
          </cell>
          <cell r="C207">
            <v>7</v>
          </cell>
          <cell r="D207">
            <v>110</v>
          </cell>
        </row>
        <row r="208">
          <cell r="A208" t="str">
            <v>台州市诺亚汽车贸易有限公司</v>
          </cell>
          <cell r="D208">
            <v>181</v>
          </cell>
        </row>
        <row r="209">
          <cell r="A209" t="str">
            <v>A16596</v>
          </cell>
          <cell r="D209">
            <v>181</v>
          </cell>
        </row>
        <row r="210">
          <cell r="A210" t="str">
            <v>泰州天顺达汽车贸易有限公司</v>
          </cell>
          <cell r="D210">
            <v>87</v>
          </cell>
        </row>
        <row r="211">
          <cell r="A211" t="str">
            <v>A13300</v>
          </cell>
          <cell r="D211">
            <v>87</v>
          </cell>
        </row>
        <row r="212">
          <cell r="A212" t="str">
            <v>天津远大盈之马汽车销售服务有限公司</v>
          </cell>
          <cell r="D212">
            <v>63</v>
          </cell>
          <cell r="E212">
            <v>28</v>
          </cell>
        </row>
        <row r="213">
          <cell r="A213" t="str">
            <v>M18229</v>
          </cell>
          <cell r="D213">
            <v>63</v>
          </cell>
          <cell r="E213">
            <v>28</v>
          </cell>
        </row>
        <row r="214">
          <cell r="A214" t="str">
            <v>桐乡市振华汽车贸易有限公司</v>
          </cell>
          <cell r="D214">
            <v>53</v>
          </cell>
        </row>
        <row r="215">
          <cell r="A215" t="str">
            <v>A26215</v>
          </cell>
          <cell r="D215">
            <v>53</v>
          </cell>
        </row>
        <row r="216">
          <cell r="A216" t="str">
            <v>威海悦祥汽车服务有限公司</v>
          </cell>
          <cell r="D216">
            <v>47</v>
          </cell>
          <cell r="E216">
            <v>17</v>
          </cell>
        </row>
        <row r="217">
          <cell r="A217" t="str">
            <v>A27235</v>
          </cell>
          <cell r="D217">
            <v>47</v>
          </cell>
          <cell r="E217">
            <v>17</v>
          </cell>
        </row>
        <row r="218">
          <cell r="A218" t="str">
            <v>潍坊东裕车业发展有限公司</v>
          </cell>
          <cell r="D218">
            <v>65</v>
          </cell>
          <cell r="E218">
            <v>41</v>
          </cell>
        </row>
        <row r="219">
          <cell r="A219" t="str">
            <v>A13261</v>
          </cell>
          <cell r="D219">
            <v>65</v>
          </cell>
          <cell r="E219">
            <v>41</v>
          </cell>
        </row>
        <row r="220">
          <cell r="A220" t="str">
            <v>渭南骏广汽车销售服务有限公司</v>
          </cell>
          <cell r="D220">
            <v>65</v>
          </cell>
        </row>
        <row r="221">
          <cell r="A221" t="str">
            <v>M18197</v>
          </cell>
          <cell r="D221">
            <v>65</v>
          </cell>
        </row>
        <row r="222">
          <cell r="A222" t="str">
            <v>温州将军汽车销售服务有限公司</v>
          </cell>
          <cell r="D222">
            <v>98</v>
          </cell>
        </row>
        <row r="223">
          <cell r="A223" t="str">
            <v>M18511</v>
          </cell>
          <cell r="D223">
            <v>98</v>
          </cell>
        </row>
        <row r="224">
          <cell r="A224" t="str">
            <v>无锡荣事达汽车贸易服务有限公司</v>
          </cell>
          <cell r="D224">
            <v>76</v>
          </cell>
          <cell r="E224">
            <v>32</v>
          </cell>
        </row>
        <row r="225">
          <cell r="A225" t="str">
            <v>M18333</v>
          </cell>
          <cell r="D225">
            <v>76</v>
          </cell>
          <cell r="E225">
            <v>32</v>
          </cell>
        </row>
        <row r="226">
          <cell r="A226" t="str">
            <v>无锡市东方运达汽车销售服务有限公司</v>
          </cell>
          <cell r="D226">
            <v>207</v>
          </cell>
        </row>
        <row r="227">
          <cell r="A227" t="str">
            <v>A14837</v>
          </cell>
          <cell r="D227">
            <v>207</v>
          </cell>
        </row>
        <row r="228">
          <cell r="A228" t="str">
            <v>芜湖瑞马汽车销售服务有限公司</v>
          </cell>
          <cell r="B228">
            <v>9</v>
          </cell>
          <cell r="C228">
            <v>9</v>
          </cell>
          <cell r="D228">
            <v>112</v>
          </cell>
          <cell r="E228">
            <v>9</v>
          </cell>
        </row>
        <row r="229">
          <cell r="A229" t="str">
            <v>M18049</v>
          </cell>
          <cell r="B229">
            <v>9</v>
          </cell>
          <cell r="C229">
            <v>9</v>
          </cell>
          <cell r="D229">
            <v>112</v>
          </cell>
          <cell r="E229">
            <v>9</v>
          </cell>
        </row>
        <row r="230">
          <cell r="A230" t="str">
            <v>武汉龙泰汽车销售服务有限公司</v>
          </cell>
          <cell r="D230">
            <v>69</v>
          </cell>
          <cell r="E230">
            <v>61</v>
          </cell>
        </row>
        <row r="231">
          <cell r="A231" t="str">
            <v>M18617</v>
          </cell>
          <cell r="D231">
            <v>69</v>
          </cell>
          <cell r="E231">
            <v>61</v>
          </cell>
        </row>
        <row r="232">
          <cell r="A232" t="str">
            <v>武汉银马汽车销售有限公司</v>
          </cell>
          <cell r="D232">
            <v>190</v>
          </cell>
        </row>
        <row r="233">
          <cell r="A233" t="str">
            <v>A17997</v>
          </cell>
          <cell r="D233">
            <v>190</v>
          </cell>
        </row>
        <row r="234">
          <cell r="A234" t="str">
            <v>西安骏雄汽车销售服务有限公司</v>
          </cell>
          <cell r="D234">
            <v>272</v>
          </cell>
        </row>
        <row r="235">
          <cell r="A235" t="str">
            <v>A13475</v>
          </cell>
          <cell r="D235">
            <v>272</v>
          </cell>
        </row>
        <row r="236">
          <cell r="A236" t="str">
            <v>襄阳建银金马汽车销售有限公司</v>
          </cell>
          <cell r="D236">
            <v>47</v>
          </cell>
          <cell r="E236">
            <v>6</v>
          </cell>
        </row>
        <row r="237">
          <cell r="A237" t="str">
            <v>M18090</v>
          </cell>
          <cell r="D237">
            <v>47</v>
          </cell>
          <cell r="E237">
            <v>6</v>
          </cell>
        </row>
        <row r="238">
          <cell r="A238" t="str">
            <v>孝感景帆汽车销售服务有限公司</v>
          </cell>
          <cell r="D238">
            <v>5</v>
          </cell>
        </row>
        <row r="239">
          <cell r="A239" t="str">
            <v>M18255</v>
          </cell>
          <cell r="D239">
            <v>5</v>
          </cell>
        </row>
        <row r="240">
          <cell r="A240" t="str">
            <v>邢台蓝池跃龙汽车服务有限公司</v>
          </cell>
          <cell r="D240">
            <v>48</v>
          </cell>
          <cell r="E240">
            <v>3</v>
          </cell>
        </row>
        <row r="241">
          <cell r="A241" t="str">
            <v>A19776</v>
          </cell>
          <cell r="D241">
            <v>48</v>
          </cell>
          <cell r="E241">
            <v>3</v>
          </cell>
        </row>
        <row r="242">
          <cell r="A242" t="str">
            <v>宿迁永泓汽车销售服务有限公司</v>
          </cell>
          <cell r="D242">
            <v>36</v>
          </cell>
          <cell r="E242">
            <v>6</v>
          </cell>
        </row>
        <row r="243">
          <cell r="A243" t="str">
            <v>M18137</v>
          </cell>
          <cell r="D243">
            <v>36</v>
          </cell>
          <cell r="E243">
            <v>6</v>
          </cell>
        </row>
        <row r="244">
          <cell r="A244" t="str">
            <v>许昌吉运汽车销售服务有限公司</v>
          </cell>
          <cell r="B244">
            <v>4</v>
          </cell>
          <cell r="C244">
            <v>4</v>
          </cell>
          <cell r="D244">
            <v>78</v>
          </cell>
        </row>
        <row r="245">
          <cell r="A245" t="str">
            <v>M18902</v>
          </cell>
          <cell r="B245">
            <v>4</v>
          </cell>
          <cell r="C245">
            <v>4</v>
          </cell>
          <cell r="D245">
            <v>78</v>
          </cell>
        </row>
        <row r="246">
          <cell r="A246" t="str">
            <v>宣城瑞冠汽车销售有限公司</v>
          </cell>
          <cell r="D246">
            <v>54</v>
          </cell>
        </row>
        <row r="247">
          <cell r="A247" t="str">
            <v>M18217</v>
          </cell>
          <cell r="D247">
            <v>54</v>
          </cell>
        </row>
        <row r="248">
          <cell r="A248" t="str">
            <v>烟台裕顺汽车服务有限公司</v>
          </cell>
          <cell r="D248">
            <v>86</v>
          </cell>
          <cell r="E248">
            <v>37</v>
          </cell>
        </row>
        <row r="249">
          <cell r="A249" t="str">
            <v>A13275</v>
          </cell>
          <cell r="D249">
            <v>86</v>
          </cell>
          <cell r="E249">
            <v>37</v>
          </cell>
        </row>
        <row r="250">
          <cell r="A250" t="str">
            <v>盐城申大汽车销售服务有限公司</v>
          </cell>
          <cell r="D250">
            <v>142</v>
          </cell>
        </row>
        <row r="251">
          <cell r="A251" t="str">
            <v>A22780</v>
          </cell>
          <cell r="D251">
            <v>142</v>
          </cell>
        </row>
        <row r="252">
          <cell r="A252" t="str">
            <v>扬州天盛达汽车贸易有限公司</v>
          </cell>
          <cell r="E252">
            <v>16</v>
          </cell>
        </row>
        <row r="253">
          <cell r="A253" t="str">
            <v>M18121</v>
          </cell>
          <cell r="E253">
            <v>16</v>
          </cell>
        </row>
        <row r="254">
          <cell r="A254" t="str">
            <v>宜昌大宏汽车销售有限公司</v>
          </cell>
          <cell r="D254">
            <v>125</v>
          </cell>
        </row>
        <row r="255">
          <cell r="A255" t="str">
            <v>A29055</v>
          </cell>
          <cell r="D255">
            <v>125</v>
          </cell>
        </row>
        <row r="256">
          <cell r="A256" t="str">
            <v>义乌市祥马汽车销售服务有限公司</v>
          </cell>
          <cell r="D256">
            <v>166</v>
          </cell>
        </row>
        <row r="257">
          <cell r="A257" t="str">
            <v>A13308</v>
          </cell>
          <cell r="D257">
            <v>166</v>
          </cell>
        </row>
        <row r="258">
          <cell r="A258" t="str">
            <v>云南善为汽车销售服务有限公司</v>
          </cell>
          <cell r="D258">
            <v>95</v>
          </cell>
        </row>
        <row r="259">
          <cell r="A259" t="str">
            <v>M18573</v>
          </cell>
          <cell r="D259">
            <v>95</v>
          </cell>
        </row>
        <row r="260">
          <cell r="A260" t="str">
            <v>张家港全骏汽车销售服务有限公司</v>
          </cell>
          <cell r="D260">
            <v>61</v>
          </cell>
        </row>
        <row r="261">
          <cell r="A261" t="str">
            <v>M18163</v>
          </cell>
          <cell r="D261">
            <v>61</v>
          </cell>
        </row>
        <row r="262">
          <cell r="A262" t="str">
            <v>张家口耀祥汽车销售有限公司</v>
          </cell>
          <cell r="B262">
            <v>5</v>
          </cell>
          <cell r="C262">
            <v>5</v>
          </cell>
          <cell r="D262">
            <v>31</v>
          </cell>
        </row>
        <row r="263">
          <cell r="A263" t="str">
            <v>M18209</v>
          </cell>
          <cell r="B263">
            <v>5</v>
          </cell>
          <cell r="C263">
            <v>5</v>
          </cell>
          <cell r="D263">
            <v>31</v>
          </cell>
        </row>
        <row r="264">
          <cell r="A264" t="str">
            <v>长春久鼎汽车销售服务有限公司</v>
          </cell>
          <cell r="D264">
            <v>91</v>
          </cell>
        </row>
        <row r="265">
          <cell r="A265" t="str">
            <v>M18283</v>
          </cell>
          <cell r="D265">
            <v>91</v>
          </cell>
        </row>
        <row r="266">
          <cell r="A266" t="str">
            <v>长沙瑞亿达汽车销售服务有限公司</v>
          </cell>
          <cell r="D266">
            <v>116</v>
          </cell>
        </row>
        <row r="267">
          <cell r="A267" t="str">
            <v>M18251</v>
          </cell>
          <cell r="D267">
            <v>116</v>
          </cell>
        </row>
        <row r="268">
          <cell r="A268" t="str">
            <v>肇庆美轮庆达汽车有限公司</v>
          </cell>
          <cell r="D268">
            <v>48</v>
          </cell>
          <cell r="E268">
            <v>47</v>
          </cell>
        </row>
        <row r="269">
          <cell r="A269" t="str">
            <v>M18025</v>
          </cell>
          <cell r="D269">
            <v>48</v>
          </cell>
          <cell r="E269">
            <v>47</v>
          </cell>
        </row>
        <row r="270">
          <cell r="A270" t="str">
            <v>浙江裕菲汽车销售服务有限公司</v>
          </cell>
          <cell r="D270">
            <v>200</v>
          </cell>
        </row>
        <row r="271">
          <cell r="A271" t="str">
            <v>A13776</v>
          </cell>
          <cell r="D271">
            <v>200</v>
          </cell>
        </row>
        <row r="272">
          <cell r="A272" t="str">
            <v>浙江元通瑞达汽车有限公司</v>
          </cell>
          <cell r="D272">
            <v>102</v>
          </cell>
        </row>
        <row r="273">
          <cell r="A273" t="str">
            <v>M18393</v>
          </cell>
          <cell r="D273">
            <v>102</v>
          </cell>
        </row>
        <row r="274">
          <cell r="A274" t="str">
            <v>中国长安汽车集团天津销售有限公司（天津福马店）</v>
          </cell>
          <cell r="D274">
            <v>100</v>
          </cell>
        </row>
        <row r="275">
          <cell r="A275" t="str">
            <v>M18069</v>
          </cell>
          <cell r="D275">
            <v>100</v>
          </cell>
        </row>
        <row r="276">
          <cell r="A276" t="str">
            <v>中山市中达汽车销售服务有限公司</v>
          </cell>
          <cell r="D276">
            <v>124</v>
          </cell>
        </row>
        <row r="277">
          <cell r="A277" t="str">
            <v>M18365</v>
          </cell>
          <cell r="D277">
            <v>124</v>
          </cell>
        </row>
        <row r="278">
          <cell r="A278" t="str">
            <v>重庆瀚达汽车销售服务有限公司</v>
          </cell>
          <cell r="D278">
            <v>60</v>
          </cell>
        </row>
        <row r="279">
          <cell r="A279" t="str">
            <v>M23002</v>
          </cell>
          <cell r="D279">
            <v>60</v>
          </cell>
        </row>
        <row r="280">
          <cell r="A280" t="str">
            <v>重庆金团汽车销售服务有限公司</v>
          </cell>
          <cell r="D280">
            <v>127</v>
          </cell>
        </row>
        <row r="281">
          <cell r="A281" t="str">
            <v>M18003</v>
          </cell>
          <cell r="D281">
            <v>127</v>
          </cell>
        </row>
        <row r="282">
          <cell r="A282" t="str">
            <v>重庆万事新汽车销售服务有限公司</v>
          </cell>
          <cell r="D282">
            <v>153</v>
          </cell>
        </row>
        <row r="283">
          <cell r="A283" t="str">
            <v>M18571</v>
          </cell>
          <cell r="D283">
            <v>153</v>
          </cell>
        </row>
        <row r="284">
          <cell r="A284" t="str">
            <v>重庆银马汽车销售服务有限公司</v>
          </cell>
          <cell r="D284">
            <v>145</v>
          </cell>
          <cell r="E284">
            <v>43</v>
          </cell>
        </row>
        <row r="285">
          <cell r="A285" t="str">
            <v>A28856</v>
          </cell>
          <cell r="D285">
            <v>145</v>
          </cell>
          <cell r="E285">
            <v>43</v>
          </cell>
        </row>
        <row r="286">
          <cell r="A286" t="str">
            <v>舟山凯桥汽车销售有限公司</v>
          </cell>
          <cell r="D286">
            <v>10</v>
          </cell>
        </row>
        <row r="287">
          <cell r="A287" t="str">
            <v>M18014</v>
          </cell>
          <cell r="D287">
            <v>10</v>
          </cell>
        </row>
        <row r="288">
          <cell r="A288" t="str">
            <v>珠海市新通达汽车销售服务有限公司</v>
          </cell>
          <cell r="D288">
            <v>196</v>
          </cell>
        </row>
        <row r="289">
          <cell r="A289" t="str">
            <v>A13342</v>
          </cell>
          <cell r="D289">
            <v>196</v>
          </cell>
        </row>
        <row r="290">
          <cell r="A290" t="str">
            <v>株洲市华兴汽车销售服务有限公司</v>
          </cell>
          <cell r="D290">
            <v>70</v>
          </cell>
        </row>
        <row r="291">
          <cell r="A291" t="str">
            <v>M18341</v>
          </cell>
          <cell r="D291">
            <v>70</v>
          </cell>
        </row>
        <row r="292">
          <cell r="A292" t="str">
            <v>株洲同达汽车销售服务有限公司</v>
          </cell>
          <cell r="D292">
            <v>50</v>
          </cell>
        </row>
        <row r="293">
          <cell r="A293" t="str">
            <v>M18232</v>
          </cell>
          <cell r="D293">
            <v>50</v>
          </cell>
        </row>
        <row r="294">
          <cell r="A294" t="str">
            <v>诸暨国赛汽车有限公司</v>
          </cell>
          <cell r="D294">
            <v>50</v>
          </cell>
        </row>
        <row r="295">
          <cell r="A295" t="str">
            <v>M18018</v>
          </cell>
          <cell r="D295">
            <v>50</v>
          </cell>
        </row>
        <row r="296">
          <cell r="A296" t="str">
            <v>淄博安华汽车销售服务有限公司</v>
          </cell>
          <cell r="D296">
            <v>93</v>
          </cell>
        </row>
        <row r="297">
          <cell r="A297" t="str">
            <v>A32364</v>
          </cell>
          <cell r="D297">
            <v>93</v>
          </cell>
        </row>
        <row r="298">
          <cell r="A298" t="str">
            <v>东莞市通益汽车销售服务有限公司</v>
          </cell>
          <cell r="D298">
            <v>74</v>
          </cell>
        </row>
        <row r="299">
          <cell r="A299" t="str">
            <v>A13338</v>
          </cell>
          <cell r="D299">
            <v>74</v>
          </cell>
        </row>
        <row r="300">
          <cell r="A300" t="str">
            <v>常州外汽永嘉汽车销售服务有限公司</v>
          </cell>
          <cell r="D300">
            <v>174</v>
          </cell>
        </row>
        <row r="301">
          <cell r="A301" t="str">
            <v>A13297</v>
          </cell>
          <cell r="D301">
            <v>174</v>
          </cell>
        </row>
        <row r="302">
          <cell r="A302" t="str">
            <v>咸阳伟益汽车销售服务有限公司</v>
          </cell>
          <cell r="D302">
            <v>104</v>
          </cell>
        </row>
        <row r="303">
          <cell r="A303" t="str">
            <v>M18052</v>
          </cell>
          <cell r="D303">
            <v>104</v>
          </cell>
        </row>
        <row r="304">
          <cell r="A304" t="str">
            <v>惠州市通力达汽车销售服务有限公司</v>
          </cell>
          <cell r="D304">
            <v>177</v>
          </cell>
        </row>
        <row r="305">
          <cell r="A305" t="str">
            <v>A13339</v>
          </cell>
          <cell r="D305">
            <v>177</v>
          </cell>
        </row>
        <row r="306">
          <cell r="A306" t="str">
            <v>常熟豪骏汽车销售服务有限公司</v>
          </cell>
          <cell r="D306">
            <v>59</v>
          </cell>
        </row>
        <row r="307">
          <cell r="A307" t="str">
            <v>M18037</v>
          </cell>
          <cell r="D307">
            <v>59</v>
          </cell>
        </row>
        <row r="308">
          <cell r="A308" t="str">
            <v>武汉龙泰元汽车销售服务有限公司</v>
          </cell>
          <cell r="D308">
            <v>43</v>
          </cell>
        </row>
        <row r="309">
          <cell r="A309" t="str">
            <v>A13265</v>
          </cell>
          <cell r="D309">
            <v>43</v>
          </cell>
        </row>
        <row r="310">
          <cell r="A310" t="str">
            <v>嘉兴市禾通汽车销售服务有限公司</v>
          </cell>
          <cell r="D310">
            <v>177</v>
          </cell>
        </row>
        <row r="311">
          <cell r="A311" t="str">
            <v>M18520</v>
          </cell>
          <cell r="D311">
            <v>177</v>
          </cell>
        </row>
        <row r="312">
          <cell r="A312" t="str">
            <v>韶关市荣和通达汽车贸易有限公司</v>
          </cell>
          <cell r="D312">
            <v>36</v>
          </cell>
        </row>
        <row r="313">
          <cell r="A313" t="str">
            <v>M18071</v>
          </cell>
          <cell r="D313">
            <v>36</v>
          </cell>
        </row>
        <row r="314">
          <cell r="A314" t="str">
            <v>深圳通利华宝安汽车销售服务有限公司</v>
          </cell>
          <cell r="D314">
            <v>120</v>
          </cell>
        </row>
        <row r="315">
          <cell r="A315" t="str">
            <v>A13343</v>
          </cell>
          <cell r="D315">
            <v>120</v>
          </cell>
        </row>
        <row r="316">
          <cell r="A316" t="str">
            <v>上饶市福铃达汽车有限公司</v>
          </cell>
          <cell r="D316">
            <v>39</v>
          </cell>
        </row>
        <row r="317">
          <cell r="A317" t="str">
            <v>A26096</v>
          </cell>
          <cell r="D317">
            <v>39</v>
          </cell>
        </row>
        <row r="318">
          <cell r="A318" t="str">
            <v>巴州四季秋林汽车销售有限公司</v>
          </cell>
          <cell r="D318">
            <v>14</v>
          </cell>
        </row>
        <row r="319">
          <cell r="A319" t="str">
            <v>M18175</v>
          </cell>
          <cell r="D319">
            <v>14</v>
          </cell>
        </row>
        <row r="320">
          <cell r="A320" t="str">
            <v>(空白)</v>
          </cell>
        </row>
        <row r="321">
          <cell r="A321" t="str">
            <v>(空白)</v>
          </cell>
        </row>
        <row r="322">
          <cell r="A322" t="str">
            <v>瑞安市深发汽车销售服务有限公司</v>
          </cell>
          <cell r="D322">
            <v>81</v>
          </cell>
        </row>
        <row r="323">
          <cell r="A323" t="str">
            <v>M18078</v>
          </cell>
          <cell r="D323">
            <v>81</v>
          </cell>
        </row>
        <row r="324">
          <cell r="A324" t="str">
            <v>辽宁福达汽车销售服务有限公司</v>
          </cell>
          <cell r="D324">
            <v>125</v>
          </cell>
        </row>
        <row r="325">
          <cell r="A325" t="str">
            <v>M18276</v>
          </cell>
          <cell r="D325">
            <v>125</v>
          </cell>
        </row>
        <row r="326">
          <cell r="A326" t="str">
            <v>安庆瑞呈汽车销售服务有限公司</v>
          </cell>
          <cell r="D326">
            <v>71</v>
          </cell>
        </row>
        <row r="327">
          <cell r="A327" t="str">
            <v>M18889</v>
          </cell>
          <cell r="D327">
            <v>71</v>
          </cell>
        </row>
        <row r="328">
          <cell r="A328" t="str">
            <v>常德汇智汽车销售服务有限公司</v>
          </cell>
          <cell r="D328">
            <v>91</v>
          </cell>
        </row>
        <row r="329">
          <cell r="A329" t="str">
            <v>M18245</v>
          </cell>
          <cell r="D329">
            <v>91</v>
          </cell>
        </row>
        <row r="330">
          <cell r="A330" t="str">
            <v>中山市万事得汽车销售服务有限公司</v>
          </cell>
          <cell r="D330">
            <v>121</v>
          </cell>
        </row>
        <row r="331">
          <cell r="A331" t="str">
            <v>A13340</v>
          </cell>
          <cell r="D331">
            <v>121</v>
          </cell>
        </row>
        <row r="332">
          <cell r="A332" t="str">
            <v>永州驭马汽车销售服务有限公司</v>
          </cell>
          <cell r="D332">
            <v>27</v>
          </cell>
        </row>
        <row r="333">
          <cell r="A333" t="str">
            <v>M18234</v>
          </cell>
          <cell r="D333">
            <v>27</v>
          </cell>
        </row>
        <row r="334">
          <cell r="A334" t="str">
            <v>泰兴市天利达汽车贸易有限公司</v>
          </cell>
          <cell r="D334">
            <v>40</v>
          </cell>
        </row>
        <row r="335">
          <cell r="A335" t="str">
            <v>M18070</v>
          </cell>
          <cell r="D335">
            <v>40</v>
          </cell>
        </row>
        <row r="336">
          <cell r="A336" t="str">
            <v>宜春驭盛汽车服务有限公司</v>
          </cell>
          <cell r="D336">
            <v>24</v>
          </cell>
        </row>
        <row r="337">
          <cell r="A337" t="str">
            <v>M18259</v>
          </cell>
          <cell r="D337">
            <v>24</v>
          </cell>
        </row>
        <row r="338">
          <cell r="A338" t="str">
            <v>东莞市通华汽车销售服务有限公司</v>
          </cell>
          <cell r="D338">
            <v>57</v>
          </cell>
        </row>
        <row r="339">
          <cell r="A339" t="str">
            <v>M18362</v>
          </cell>
          <cell r="D339">
            <v>57</v>
          </cell>
        </row>
        <row r="340">
          <cell r="A340" t="str">
            <v>绵阳星鸿达汽车销售服务有限公司</v>
          </cell>
          <cell r="D340">
            <v>118</v>
          </cell>
        </row>
        <row r="341">
          <cell r="A341" t="str">
            <v>A13558</v>
          </cell>
          <cell r="D341">
            <v>118</v>
          </cell>
        </row>
        <row r="342">
          <cell r="A342" t="str">
            <v>岳阳驭马汽车销售服务有限公司</v>
          </cell>
          <cell r="D342">
            <v>50</v>
          </cell>
        </row>
        <row r="343">
          <cell r="A343" t="str">
            <v>M18231</v>
          </cell>
          <cell r="D343">
            <v>50</v>
          </cell>
        </row>
        <row r="344">
          <cell r="A344" t="str">
            <v>银川瑞鼎汽车销售服务有限公司</v>
          </cell>
          <cell r="D344">
            <v>101</v>
          </cell>
        </row>
        <row r="345">
          <cell r="A345" t="str">
            <v>A14861</v>
          </cell>
          <cell r="D345">
            <v>101</v>
          </cell>
        </row>
        <row r="346">
          <cell r="A346" t="str">
            <v>东莞市莞泰通益汽车销售服务有限公司</v>
          </cell>
          <cell r="D346">
            <v>92</v>
          </cell>
        </row>
        <row r="347">
          <cell r="A347" t="str">
            <v>M18055</v>
          </cell>
          <cell r="D347">
            <v>92</v>
          </cell>
        </row>
        <row r="348">
          <cell r="A348" t="str">
            <v>衡阳致瑞汽车销售服务有限公司</v>
          </cell>
          <cell r="D348">
            <v>201</v>
          </cell>
        </row>
        <row r="349">
          <cell r="A349" t="str">
            <v>M18238</v>
          </cell>
          <cell r="D349">
            <v>201</v>
          </cell>
        </row>
        <row r="350">
          <cell r="A350" t="str">
            <v>太仓华洋汽车销售服务有限公司</v>
          </cell>
          <cell r="D350">
            <v>56</v>
          </cell>
          <cell r="E350">
            <v>6</v>
          </cell>
        </row>
        <row r="351">
          <cell r="A351" t="str">
            <v>A26095</v>
          </cell>
          <cell r="D351">
            <v>56</v>
          </cell>
          <cell r="E351">
            <v>6</v>
          </cell>
        </row>
        <row r="352">
          <cell r="A352" t="str">
            <v>商丘市宝利鑫凯汽车销售服务有限公司</v>
          </cell>
          <cell r="D352">
            <v>1</v>
          </cell>
        </row>
        <row r="353">
          <cell r="A353" t="str">
            <v>M18325</v>
          </cell>
          <cell r="D353">
            <v>1</v>
          </cell>
        </row>
        <row r="354">
          <cell r="A354" t="str">
            <v>百色万马汽车销售服务有限公司</v>
          </cell>
          <cell r="D354">
            <v>76</v>
          </cell>
        </row>
        <row r="355">
          <cell r="A355" t="str">
            <v>M18051</v>
          </cell>
          <cell r="D355">
            <v>76</v>
          </cell>
        </row>
        <row r="356">
          <cell r="A356" t="str">
            <v>深圳通利华龙城汽车销售服务有限公司</v>
          </cell>
          <cell r="D356">
            <v>114</v>
          </cell>
        </row>
        <row r="357">
          <cell r="A357" t="str">
            <v>M18042</v>
          </cell>
          <cell r="D357">
            <v>114</v>
          </cell>
        </row>
        <row r="358">
          <cell r="A358" t="str">
            <v>莆田龙益汽车销售服务有限公司</v>
          </cell>
          <cell r="D358">
            <v>27</v>
          </cell>
        </row>
        <row r="359">
          <cell r="A359" t="str">
            <v>M18169</v>
          </cell>
          <cell r="D359">
            <v>27</v>
          </cell>
        </row>
        <row r="360">
          <cell r="A360" t="str">
            <v>佳木斯嘉达汽车销售服务有限公司</v>
          </cell>
          <cell r="B360">
            <v>6</v>
          </cell>
          <cell r="C360">
            <v>6</v>
          </cell>
          <cell r="D360">
            <v>12</v>
          </cell>
        </row>
        <row r="361">
          <cell r="A361" t="str">
            <v>M23001</v>
          </cell>
          <cell r="B361">
            <v>6</v>
          </cell>
          <cell r="C361">
            <v>6</v>
          </cell>
          <cell r="D361">
            <v>12</v>
          </cell>
        </row>
        <row r="362">
          <cell r="A362" t="str">
            <v>遵义乾坤君马汽车销售有限公司</v>
          </cell>
          <cell r="D362">
            <v>6</v>
          </cell>
        </row>
        <row r="363">
          <cell r="A363" t="str">
            <v>M18246</v>
          </cell>
          <cell r="D363">
            <v>6</v>
          </cell>
        </row>
        <row r="364">
          <cell r="A364" t="str">
            <v>河北桐响汽车贸易有限公司</v>
          </cell>
          <cell r="D364">
            <v>55</v>
          </cell>
          <cell r="E364">
            <v>12</v>
          </cell>
        </row>
        <row r="365">
          <cell r="A365" t="str">
            <v>M18917</v>
          </cell>
          <cell r="D365">
            <v>55</v>
          </cell>
          <cell r="E365">
            <v>12</v>
          </cell>
        </row>
        <row r="366">
          <cell r="A366" t="str">
            <v>临沂长驰汽车销售服务有限公司</v>
          </cell>
          <cell r="D366">
            <v>49</v>
          </cell>
        </row>
        <row r="367">
          <cell r="A367" t="str">
            <v>M18915</v>
          </cell>
          <cell r="D367">
            <v>49</v>
          </cell>
        </row>
        <row r="368">
          <cell r="A368" t="str">
            <v>唐山丰玮汽车贸易有限公司</v>
          </cell>
          <cell r="D368">
            <v>20</v>
          </cell>
        </row>
        <row r="369">
          <cell r="A369" t="str">
            <v>M18919</v>
          </cell>
          <cell r="D369">
            <v>20</v>
          </cell>
        </row>
        <row r="370">
          <cell r="A370" t="str">
            <v>东莞市众强贸易有限公司</v>
          </cell>
          <cell r="D370">
            <v>2</v>
          </cell>
        </row>
        <row r="371">
          <cell r="A371" t="str">
            <v>M18922</v>
          </cell>
          <cell r="D371">
            <v>2</v>
          </cell>
        </row>
        <row r="372">
          <cell r="A372" t="str">
            <v>伊宁市笑好泓源汽车服务有限公司</v>
          </cell>
          <cell r="D372">
            <v>3</v>
          </cell>
        </row>
        <row r="373">
          <cell r="A373" t="str">
            <v>M18911</v>
          </cell>
          <cell r="D373">
            <v>3</v>
          </cell>
        </row>
        <row r="374">
          <cell r="A374" t="str">
            <v>福州龙驭汽车销售服务有限公司</v>
          </cell>
          <cell r="D374">
            <v>42</v>
          </cell>
        </row>
        <row r="375">
          <cell r="A375" t="str">
            <v>M18935</v>
          </cell>
          <cell r="D375">
            <v>42</v>
          </cell>
        </row>
        <row r="376">
          <cell r="A376" t="str">
            <v>丽水旺昌汽车销售服务有限公司</v>
          </cell>
          <cell r="D376">
            <v>1</v>
          </cell>
        </row>
        <row r="377">
          <cell r="A377" t="str">
            <v>M18239</v>
          </cell>
          <cell r="D377">
            <v>1</v>
          </cell>
        </row>
        <row r="378">
          <cell r="A378" t="str">
            <v>总计</v>
          </cell>
          <cell r="B378">
            <v>112</v>
          </cell>
          <cell r="C378">
            <v>112</v>
          </cell>
          <cell r="D378">
            <v>16405</v>
          </cell>
          <cell r="E378">
            <v>1217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1"/>
  <sheetViews>
    <sheetView tabSelected="1" workbookViewId="0">
      <selection activeCell="G6" sqref="G6"/>
    </sheetView>
  </sheetViews>
  <sheetFormatPr defaultRowHeight="14" x14ac:dyDescent="0.25"/>
  <cols>
    <col min="2" max="2" width="10.7265625" customWidth="1"/>
    <col min="4" max="4" width="15.7265625" customWidth="1"/>
    <col min="5" max="5" width="13.36328125" customWidth="1"/>
  </cols>
  <sheetData>
    <row r="1" spans="1:11" ht="29" x14ac:dyDescent="0.25">
      <c r="A1" s="1" t="s">
        <v>358</v>
      </c>
      <c r="B1" s="1" t="s">
        <v>359</v>
      </c>
      <c r="C1" s="1" t="s">
        <v>0</v>
      </c>
      <c r="D1" s="1" t="s">
        <v>139</v>
      </c>
      <c r="E1" s="1" t="s">
        <v>360</v>
      </c>
      <c r="F1" s="2" t="s">
        <v>361</v>
      </c>
      <c r="G1" s="2" t="s">
        <v>362</v>
      </c>
      <c r="H1" s="2" t="s">
        <v>363</v>
      </c>
      <c r="I1" s="2" t="s">
        <v>364</v>
      </c>
      <c r="J1" s="2" t="s">
        <v>365</v>
      </c>
      <c r="K1" s="3" t="s">
        <v>366</v>
      </c>
    </row>
    <row r="2" spans="1:11" ht="14.5" x14ac:dyDescent="0.25">
      <c r="A2" s="4">
        <v>1</v>
      </c>
      <c r="B2" s="5" t="s">
        <v>117</v>
      </c>
      <c r="C2" s="5" t="s">
        <v>5</v>
      </c>
      <c r="D2" s="5" t="s">
        <v>208</v>
      </c>
      <c r="E2" s="5" t="s">
        <v>357</v>
      </c>
      <c r="F2" s="5">
        <f>IFERROR(VLOOKUP(B2,[1]Sheet1!A:B,2,0),0)</f>
        <v>0</v>
      </c>
      <c r="G2" s="5">
        <f>IFERROR(VLOOKUP(B2,[1]Sheet1!A:E,5,0),0)</f>
        <v>0</v>
      </c>
      <c r="H2" s="5">
        <f>IFERROR(VLOOKUP(B2,[1]Sheet1!A:E,4,0),0)</f>
        <v>0</v>
      </c>
      <c r="I2" s="5">
        <f t="shared" ref="I2:I65" si="0">G2+H2</f>
        <v>0</v>
      </c>
      <c r="J2" s="5">
        <v>1240</v>
      </c>
      <c r="K2" s="6">
        <f t="shared" ref="K2:K65" si="1">I2/(J2/12)</f>
        <v>0</v>
      </c>
    </row>
    <row r="3" spans="1:11" ht="14.5" x14ac:dyDescent="0.25">
      <c r="A3" s="4">
        <v>2</v>
      </c>
      <c r="B3" s="5" t="s">
        <v>120</v>
      </c>
      <c r="C3" s="5" t="s">
        <v>5</v>
      </c>
      <c r="D3" s="5" t="s">
        <v>179</v>
      </c>
      <c r="E3" s="5" t="s">
        <v>357</v>
      </c>
      <c r="F3" s="5">
        <f>IFERROR(VLOOKUP(B3,[1]Sheet1!A:B,2,0),0)</f>
        <v>0</v>
      </c>
      <c r="G3" s="5">
        <f>IFERROR(VLOOKUP(B3,[1]Sheet1!A:E,5,0),0)</f>
        <v>0</v>
      </c>
      <c r="H3" s="5">
        <f>IFERROR(VLOOKUP(B3,[1]Sheet1!A:E,4,0),0)</f>
        <v>81</v>
      </c>
      <c r="I3" s="5">
        <f t="shared" si="0"/>
        <v>81</v>
      </c>
      <c r="J3" s="5">
        <v>3764</v>
      </c>
      <c r="K3" s="6">
        <f t="shared" si="1"/>
        <v>0.2582359192348565</v>
      </c>
    </row>
    <row r="4" spans="1:11" ht="14.5" x14ac:dyDescent="0.25">
      <c r="A4" s="4">
        <v>3</v>
      </c>
      <c r="B4" s="5" t="s">
        <v>74</v>
      </c>
      <c r="C4" s="5" t="s">
        <v>5</v>
      </c>
      <c r="D4" s="5" t="s">
        <v>180</v>
      </c>
      <c r="E4" s="5" t="s">
        <v>357</v>
      </c>
      <c r="F4" s="5">
        <f>IFERROR(VLOOKUP(B4,[1]Sheet1!A:B,2,0),0)</f>
        <v>0</v>
      </c>
      <c r="G4" s="5">
        <f>IFERROR(VLOOKUP(B4,[1]Sheet1!A:E,5,0),0)</f>
        <v>0</v>
      </c>
      <c r="H4" s="5">
        <f>IFERROR(VLOOKUP(B4,[1]Sheet1!A:E,4,0),0)</f>
        <v>98</v>
      </c>
      <c r="I4" s="5">
        <f t="shared" si="0"/>
        <v>98</v>
      </c>
      <c r="J4" s="5">
        <v>2497</v>
      </c>
      <c r="K4" s="6">
        <f t="shared" si="1"/>
        <v>0.47096515818982776</v>
      </c>
    </row>
    <row r="5" spans="1:11" ht="14.5" x14ac:dyDescent="0.25">
      <c r="A5" s="4">
        <v>4</v>
      </c>
      <c r="B5" s="5" t="s">
        <v>124</v>
      </c>
      <c r="C5" s="5" t="s">
        <v>5</v>
      </c>
      <c r="D5" s="5" t="s">
        <v>171</v>
      </c>
      <c r="E5" s="5" t="s">
        <v>357</v>
      </c>
      <c r="F5" s="5">
        <f>IFERROR(VLOOKUP(B5,[1]Sheet1!A:B,2,0),0)</f>
        <v>0</v>
      </c>
      <c r="G5" s="5">
        <f>IFERROR(VLOOKUP(B5,[1]Sheet1!A:E,5,0),0)</f>
        <v>0</v>
      </c>
      <c r="H5" s="5">
        <f>IFERROR(VLOOKUP(B5,[1]Sheet1!A:E,4,0),0)</f>
        <v>166</v>
      </c>
      <c r="I5" s="5">
        <f t="shared" si="0"/>
        <v>166</v>
      </c>
      <c r="J5" s="5">
        <v>4252</v>
      </c>
      <c r="K5" s="6">
        <f t="shared" si="1"/>
        <v>0.4684854186265287</v>
      </c>
    </row>
    <row r="6" spans="1:11" ht="14.5" x14ac:dyDescent="0.25">
      <c r="A6" s="4">
        <v>6</v>
      </c>
      <c r="B6" s="5" t="s">
        <v>173</v>
      </c>
      <c r="C6" s="5" t="s">
        <v>5</v>
      </c>
      <c r="D6" s="5" t="s">
        <v>174</v>
      </c>
      <c r="E6" s="5" t="s">
        <v>357</v>
      </c>
      <c r="F6" s="5">
        <f>IFERROR(VLOOKUP(B6,[1]Sheet1!A:B,2,0),0)</f>
        <v>0</v>
      </c>
      <c r="G6" s="5">
        <f>IFERROR(VLOOKUP(B6,[1]Sheet1!A:E,5,0),0)</f>
        <v>0</v>
      </c>
      <c r="H6" s="5">
        <f>IFERROR(VLOOKUP(B6,[1]Sheet1!A:E,4,0),0)</f>
        <v>1</v>
      </c>
      <c r="I6" s="5">
        <f t="shared" si="0"/>
        <v>1</v>
      </c>
      <c r="J6" s="5">
        <v>1268</v>
      </c>
      <c r="K6" s="6">
        <f t="shared" si="1"/>
        <v>9.4637223974763408E-3</v>
      </c>
    </row>
    <row r="7" spans="1:11" ht="14.5" x14ac:dyDescent="0.25">
      <c r="A7" s="4">
        <v>7</v>
      </c>
      <c r="B7" s="5" t="s">
        <v>62</v>
      </c>
      <c r="C7" s="5" t="s">
        <v>5</v>
      </c>
      <c r="D7" s="5" t="s">
        <v>175</v>
      </c>
      <c r="E7" s="5" t="s">
        <v>357</v>
      </c>
      <c r="F7" s="5">
        <f>IFERROR(VLOOKUP(B7,[1]Sheet1!A:B,2,0),0)</f>
        <v>0</v>
      </c>
      <c r="G7" s="5">
        <f>IFERROR(VLOOKUP(B7,[1]Sheet1!A:E,5,0),0)</f>
        <v>0</v>
      </c>
      <c r="H7" s="5">
        <f>IFERROR(VLOOKUP(B7,[1]Sheet1!A:E,4,0),0)</f>
        <v>89</v>
      </c>
      <c r="I7" s="5">
        <f t="shared" si="0"/>
        <v>89</v>
      </c>
      <c r="J7" s="5">
        <v>1912</v>
      </c>
      <c r="K7" s="6">
        <f t="shared" si="1"/>
        <v>0.55857740585774052</v>
      </c>
    </row>
    <row r="8" spans="1:11" ht="14.5" x14ac:dyDescent="0.25">
      <c r="A8" s="4">
        <v>8</v>
      </c>
      <c r="B8" s="5" t="s">
        <v>84</v>
      </c>
      <c r="C8" s="5" t="s">
        <v>5</v>
      </c>
      <c r="D8" s="5" t="s">
        <v>176</v>
      </c>
      <c r="E8" s="5" t="s">
        <v>134</v>
      </c>
      <c r="F8" s="5">
        <f>IFERROR(VLOOKUP(B8,[1]Sheet1!A:B,2,0),0)</f>
        <v>0</v>
      </c>
      <c r="G8" s="5">
        <f>IFERROR(VLOOKUP(B8,[1]Sheet1!A:E,5,0),0)</f>
        <v>0</v>
      </c>
      <c r="H8" s="5">
        <f>IFERROR(VLOOKUP(B8,[1]Sheet1!A:E,4,0),0)</f>
        <v>50</v>
      </c>
      <c r="I8" s="5">
        <f t="shared" si="0"/>
        <v>50</v>
      </c>
      <c r="J8" s="5">
        <v>1416</v>
      </c>
      <c r="K8" s="6">
        <f t="shared" si="1"/>
        <v>0.42372881355932202</v>
      </c>
    </row>
    <row r="9" spans="1:11" ht="14.5" x14ac:dyDescent="0.25">
      <c r="A9" s="4">
        <v>9</v>
      </c>
      <c r="B9" s="5" t="s">
        <v>65</v>
      </c>
      <c r="C9" s="5" t="s">
        <v>5</v>
      </c>
      <c r="D9" s="5" t="s">
        <v>177</v>
      </c>
      <c r="E9" s="5" t="s">
        <v>134</v>
      </c>
      <c r="F9" s="5">
        <f>IFERROR(VLOOKUP(B9,[1]Sheet1!A:B,2,0),0)</f>
        <v>0</v>
      </c>
      <c r="G9" s="5">
        <f>IFERROR(VLOOKUP(B9,[1]Sheet1!A:E,5,0),0)</f>
        <v>3</v>
      </c>
      <c r="H9" s="5">
        <f>IFERROR(VLOOKUP(B9,[1]Sheet1!A:E,4,0),0)</f>
        <v>94</v>
      </c>
      <c r="I9" s="5">
        <f t="shared" si="0"/>
        <v>97</v>
      </c>
      <c r="J9" s="5">
        <v>3538</v>
      </c>
      <c r="K9" s="6">
        <f t="shared" si="1"/>
        <v>0.3289994347088751</v>
      </c>
    </row>
    <row r="10" spans="1:11" ht="14.5" x14ac:dyDescent="0.25">
      <c r="A10" s="4">
        <v>10</v>
      </c>
      <c r="B10" s="5" t="s">
        <v>40</v>
      </c>
      <c r="C10" s="5" t="s">
        <v>5</v>
      </c>
      <c r="D10" s="5" t="s">
        <v>178</v>
      </c>
      <c r="E10" s="5" t="s">
        <v>134</v>
      </c>
      <c r="F10" s="5">
        <f>IFERROR(VLOOKUP(B10,[1]Sheet1!A:B,2,0),0)</f>
        <v>0</v>
      </c>
      <c r="G10" s="5">
        <f>IFERROR(VLOOKUP(B10,[1]Sheet1!A:E,5,0),0)</f>
        <v>0</v>
      </c>
      <c r="H10" s="5">
        <f>IFERROR(VLOOKUP(B10,[1]Sheet1!A:E,4,0),0)</f>
        <v>181</v>
      </c>
      <c r="I10" s="5">
        <f t="shared" si="0"/>
        <v>181</v>
      </c>
      <c r="J10" s="5">
        <v>5127</v>
      </c>
      <c r="K10" s="6">
        <f t="shared" si="1"/>
        <v>0.42363955529549446</v>
      </c>
    </row>
    <row r="11" spans="1:11" ht="14.5" x14ac:dyDescent="0.25">
      <c r="A11" s="4">
        <v>11</v>
      </c>
      <c r="B11" s="5" t="s">
        <v>68</v>
      </c>
      <c r="C11" s="5" t="s">
        <v>5</v>
      </c>
      <c r="D11" s="5" t="s">
        <v>200</v>
      </c>
      <c r="E11" s="5" t="s">
        <v>134</v>
      </c>
      <c r="F11" s="5">
        <f>IFERROR(VLOOKUP(B11,[1]Sheet1!A:B,2,0),0)</f>
        <v>0</v>
      </c>
      <c r="G11" s="5">
        <f>IFERROR(VLOOKUP(B11,[1]Sheet1!A:E,5,0),0)</f>
        <v>0</v>
      </c>
      <c r="H11" s="5">
        <f>IFERROR(VLOOKUP(B11,[1]Sheet1!A:E,4,0),0)</f>
        <v>10</v>
      </c>
      <c r="I11" s="5">
        <f t="shared" si="0"/>
        <v>10</v>
      </c>
      <c r="J11" s="5">
        <v>3045</v>
      </c>
      <c r="K11" s="6">
        <f t="shared" si="1"/>
        <v>3.9408866995073892E-2</v>
      </c>
    </row>
    <row r="12" spans="1:11" ht="14.5" x14ac:dyDescent="0.25">
      <c r="A12" s="4">
        <v>12</v>
      </c>
      <c r="B12" s="5" t="s">
        <v>35</v>
      </c>
      <c r="C12" s="5" t="s">
        <v>5</v>
      </c>
      <c r="D12" s="5" t="s">
        <v>205</v>
      </c>
      <c r="E12" s="5" t="s">
        <v>134</v>
      </c>
      <c r="F12" s="5">
        <f>IFERROR(VLOOKUP(B12,[1]Sheet1!A:B,2,0),0)</f>
        <v>0</v>
      </c>
      <c r="G12" s="5">
        <f>IFERROR(VLOOKUP(B12,[1]Sheet1!A:E,5,0),0)</f>
        <v>3</v>
      </c>
      <c r="H12" s="5">
        <f>IFERROR(VLOOKUP(B12,[1]Sheet1!A:E,4,0),0)</f>
        <v>262</v>
      </c>
      <c r="I12" s="5">
        <f t="shared" si="0"/>
        <v>265</v>
      </c>
      <c r="J12" s="5">
        <v>5633</v>
      </c>
      <c r="K12" s="6">
        <f t="shared" si="1"/>
        <v>0.5645304455884963</v>
      </c>
    </row>
    <row r="13" spans="1:11" ht="14.5" x14ac:dyDescent="0.25">
      <c r="A13" s="4">
        <v>13</v>
      </c>
      <c r="B13" s="5" t="s">
        <v>80</v>
      </c>
      <c r="C13" s="5" t="s">
        <v>5</v>
      </c>
      <c r="D13" s="5" t="s">
        <v>206</v>
      </c>
      <c r="E13" s="5" t="s">
        <v>134</v>
      </c>
      <c r="F13" s="5">
        <f>IFERROR(VLOOKUP(B13,[1]Sheet1!A:B,2,0),0)</f>
        <v>0</v>
      </c>
      <c r="G13" s="5">
        <f>IFERROR(VLOOKUP(B13,[1]Sheet1!A:E,5,0),0)</f>
        <v>0</v>
      </c>
      <c r="H13" s="5">
        <f>IFERROR(VLOOKUP(B13,[1]Sheet1!A:E,4,0),0)</f>
        <v>0</v>
      </c>
      <c r="I13" s="5">
        <f t="shared" si="0"/>
        <v>0</v>
      </c>
      <c r="J13" s="5">
        <v>1069</v>
      </c>
      <c r="K13" s="6">
        <f t="shared" si="1"/>
        <v>0</v>
      </c>
    </row>
    <row r="14" spans="1:11" ht="14.5" x14ac:dyDescent="0.25">
      <c r="A14" s="4">
        <v>14</v>
      </c>
      <c r="B14" s="5" t="s">
        <v>83</v>
      </c>
      <c r="C14" s="5" t="s">
        <v>5</v>
      </c>
      <c r="D14" s="5" t="s">
        <v>207</v>
      </c>
      <c r="E14" s="5" t="s">
        <v>134</v>
      </c>
      <c r="F14" s="5">
        <f>IFERROR(VLOOKUP(B14,[1]Sheet1!A:B,2,0),0)</f>
        <v>0</v>
      </c>
      <c r="G14" s="5">
        <f>IFERROR(VLOOKUP(B14,[1]Sheet1!A:E,5,0),0)</f>
        <v>0</v>
      </c>
      <c r="H14" s="5">
        <f>IFERROR(VLOOKUP(B14,[1]Sheet1!A:E,4,0),0)</f>
        <v>0</v>
      </c>
      <c r="I14" s="5">
        <f t="shared" si="0"/>
        <v>0</v>
      </c>
      <c r="J14" s="5">
        <v>2442</v>
      </c>
      <c r="K14" s="6">
        <f t="shared" si="1"/>
        <v>0</v>
      </c>
    </row>
    <row r="15" spans="1:11" ht="14.5" x14ac:dyDescent="0.25">
      <c r="A15" s="4">
        <v>15</v>
      </c>
      <c r="B15" s="5" t="s">
        <v>33</v>
      </c>
      <c r="C15" s="5" t="s">
        <v>5</v>
      </c>
      <c r="D15" s="5" t="s">
        <v>209</v>
      </c>
      <c r="E15" s="5" t="s">
        <v>134</v>
      </c>
      <c r="F15" s="5">
        <f>IFERROR(VLOOKUP(B15,[1]Sheet1!A:B,2,0),0)</f>
        <v>0</v>
      </c>
      <c r="G15" s="5">
        <f>IFERROR(VLOOKUP(B15,[1]Sheet1!A:E,5,0),0)</f>
        <v>10</v>
      </c>
      <c r="H15" s="5">
        <f>IFERROR(VLOOKUP(B15,[1]Sheet1!A:E,4,0),0)</f>
        <v>114</v>
      </c>
      <c r="I15" s="5">
        <f t="shared" si="0"/>
        <v>124</v>
      </c>
      <c r="J15" s="5">
        <v>2891</v>
      </c>
      <c r="K15" s="6">
        <f t="shared" si="1"/>
        <v>0.51470079557246629</v>
      </c>
    </row>
    <row r="16" spans="1:11" ht="14.5" x14ac:dyDescent="0.25">
      <c r="A16" s="4">
        <v>16</v>
      </c>
      <c r="B16" s="5" t="s">
        <v>87</v>
      </c>
      <c r="C16" s="5" t="s">
        <v>5</v>
      </c>
      <c r="D16" s="5" t="s">
        <v>201</v>
      </c>
      <c r="E16" s="5" t="s">
        <v>134</v>
      </c>
      <c r="F16" s="5">
        <f>IFERROR(VLOOKUP(B16,[1]Sheet1!A:B,2,0),0)</f>
        <v>0</v>
      </c>
      <c r="G16" s="5">
        <f>IFERROR(VLOOKUP(B16,[1]Sheet1!A:E,5,0),0)</f>
        <v>0</v>
      </c>
      <c r="H16" s="5">
        <f>IFERROR(VLOOKUP(B16,[1]Sheet1!A:E,4,0),0)</f>
        <v>200</v>
      </c>
      <c r="I16" s="5">
        <f t="shared" si="0"/>
        <v>200</v>
      </c>
      <c r="J16" s="5">
        <v>4494</v>
      </c>
      <c r="K16" s="6">
        <f t="shared" si="1"/>
        <v>0.53404539385847793</v>
      </c>
    </row>
    <row r="17" spans="1:11" ht="14.5" x14ac:dyDescent="0.25">
      <c r="A17" s="4">
        <v>17</v>
      </c>
      <c r="B17" s="5" t="s">
        <v>67</v>
      </c>
      <c r="C17" s="5" t="s">
        <v>5</v>
      </c>
      <c r="D17" s="5" t="s">
        <v>203</v>
      </c>
      <c r="E17" s="5" t="s">
        <v>134</v>
      </c>
      <c r="F17" s="5">
        <f>IFERROR(VLOOKUP(B17,[1]Sheet1!A:B,2,0),0)</f>
        <v>0</v>
      </c>
      <c r="G17" s="5">
        <f>IFERROR(VLOOKUP(B17,[1]Sheet1!A:E,5,0),0)</f>
        <v>0</v>
      </c>
      <c r="H17" s="5">
        <f>IFERROR(VLOOKUP(B17,[1]Sheet1!A:E,4,0),0)</f>
        <v>321</v>
      </c>
      <c r="I17" s="5">
        <f t="shared" si="0"/>
        <v>321</v>
      </c>
      <c r="J17" s="5">
        <v>9698</v>
      </c>
      <c r="K17" s="6">
        <f t="shared" si="1"/>
        <v>0.39719529799958758</v>
      </c>
    </row>
    <row r="18" spans="1:11" ht="14.5" x14ac:dyDescent="0.25">
      <c r="A18" s="4">
        <v>18</v>
      </c>
      <c r="B18" s="5" t="s">
        <v>66</v>
      </c>
      <c r="C18" s="5" t="s">
        <v>5</v>
      </c>
      <c r="D18" s="5" t="s">
        <v>204</v>
      </c>
      <c r="E18" s="5" t="s">
        <v>134</v>
      </c>
      <c r="F18" s="5">
        <f>IFERROR(VLOOKUP(B18,[1]Sheet1!A:B,2,0),0)</f>
        <v>0</v>
      </c>
      <c r="G18" s="5">
        <f>IFERROR(VLOOKUP(B18,[1]Sheet1!A:E,5,0),0)</f>
        <v>0</v>
      </c>
      <c r="H18" s="5">
        <f>IFERROR(VLOOKUP(B18,[1]Sheet1!A:E,4,0),0)</f>
        <v>102</v>
      </c>
      <c r="I18" s="5">
        <f t="shared" si="0"/>
        <v>102</v>
      </c>
      <c r="J18" s="5">
        <v>3357</v>
      </c>
      <c r="K18" s="6">
        <f t="shared" si="1"/>
        <v>0.36461126005361932</v>
      </c>
    </row>
    <row r="19" spans="1:11" ht="14.5" x14ac:dyDescent="0.25">
      <c r="A19" s="4">
        <v>19</v>
      </c>
      <c r="B19" s="5" t="s">
        <v>20</v>
      </c>
      <c r="C19" s="5" t="s">
        <v>5</v>
      </c>
      <c r="D19" s="5" t="s">
        <v>190</v>
      </c>
      <c r="E19" s="5" t="s">
        <v>217</v>
      </c>
      <c r="F19" s="5">
        <f>IFERROR(VLOOKUP(B19,[1]Sheet1!A:B,2,0),0)</f>
        <v>0</v>
      </c>
      <c r="G19" s="5">
        <f>IFERROR(VLOOKUP(B19,[1]Sheet1!A:E,5,0),0)</f>
        <v>0</v>
      </c>
      <c r="H19" s="5">
        <f>IFERROR(VLOOKUP(B19,[1]Sheet1!A:E,4,0),0)</f>
        <v>270</v>
      </c>
      <c r="I19" s="5">
        <f t="shared" si="0"/>
        <v>270</v>
      </c>
      <c r="J19" s="5">
        <v>7172</v>
      </c>
      <c r="K19" s="6">
        <f t="shared" si="1"/>
        <v>0.45175683212493029</v>
      </c>
    </row>
    <row r="20" spans="1:11" ht="14.5" x14ac:dyDescent="0.25">
      <c r="A20" s="4">
        <v>20</v>
      </c>
      <c r="B20" s="5" t="s">
        <v>55</v>
      </c>
      <c r="C20" s="5" t="s">
        <v>5</v>
      </c>
      <c r="D20" s="5" t="s">
        <v>191</v>
      </c>
      <c r="E20" s="5" t="s">
        <v>217</v>
      </c>
      <c r="F20" s="5">
        <f>IFERROR(VLOOKUP(B20,[1]Sheet1!A:B,2,0),0)</f>
        <v>0</v>
      </c>
      <c r="G20" s="5">
        <f>IFERROR(VLOOKUP(B20,[1]Sheet1!A:E,5,0),0)</f>
        <v>1</v>
      </c>
      <c r="H20" s="5">
        <f>IFERROR(VLOOKUP(B20,[1]Sheet1!A:E,4,0),0)</f>
        <v>166</v>
      </c>
      <c r="I20" s="5">
        <f t="shared" si="0"/>
        <v>167</v>
      </c>
      <c r="J20" s="5">
        <v>4046</v>
      </c>
      <c r="K20" s="6">
        <f t="shared" si="1"/>
        <v>0.49530400395452295</v>
      </c>
    </row>
    <row r="21" spans="1:11" ht="14.5" x14ac:dyDescent="0.25">
      <c r="A21" s="4">
        <v>21</v>
      </c>
      <c r="B21" s="5" t="s">
        <v>114</v>
      </c>
      <c r="C21" s="5" t="s">
        <v>5</v>
      </c>
      <c r="D21" s="5" t="s">
        <v>192</v>
      </c>
      <c r="E21" s="5" t="s">
        <v>217</v>
      </c>
      <c r="F21" s="5">
        <f>IFERROR(VLOOKUP(B21,[1]Sheet1!A:B,2,0),0)</f>
        <v>0</v>
      </c>
      <c r="G21" s="5">
        <f>IFERROR(VLOOKUP(B21,[1]Sheet1!A:E,5,0),0)</f>
        <v>0</v>
      </c>
      <c r="H21" s="5">
        <f>IFERROR(VLOOKUP(B21,[1]Sheet1!A:E,4,0),0)</f>
        <v>107</v>
      </c>
      <c r="I21" s="5">
        <f t="shared" si="0"/>
        <v>107</v>
      </c>
      <c r="J21" s="5">
        <v>2414</v>
      </c>
      <c r="K21" s="6">
        <f t="shared" si="1"/>
        <v>0.53189726594863296</v>
      </c>
    </row>
    <row r="22" spans="1:11" ht="14.5" x14ac:dyDescent="0.25">
      <c r="A22" s="4">
        <v>22</v>
      </c>
      <c r="B22" s="5" t="s">
        <v>195</v>
      </c>
      <c r="C22" s="5" t="s">
        <v>5</v>
      </c>
      <c r="D22" s="5" t="s">
        <v>196</v>
      </c>
      <c r="E22" s="5" t="s">
        <v>217</v>
      </c>
      <c r="F22" s="5">
        <f>IFERROR(VLOOKUP(B22,[1]Sheet1!A:B,2,0),0)</f>
        <v>0</v>
      </c>
      <c r="G22" s="5">
        <f>IFERROR(VLOOKUP(B22,[1]Sheet1!A:E,5,0),0)</f>
        <v>0</v>
      </c>
      <c r="H22" s="5">
        <f>IFERROR(VLOOKUP(B22,[1]Sheet1!A:E,4,0),0)</f>
        <v>0</v>
      </c>
      <c r="I22" s="5">
        <f t="shared" si="0"/>
        <v>0</v>
      </c>
      <c r="J22" s="5">
        <v>1394</v>
      </c>
      <c r="K22" s="6">
        <f t="shared" si="1"/>
        <v>0</v>
      </c>
    </row>
    <row r="23" spans="1:11" ht="14.5" x14ac:dyDescent="0.25">
      <c r="A23" s="4">
        <v>24</v>
      </c>
      <c r="B23" s="5" t="s">
        <v>9</v>
      </c>
      <c r="C23" s="5" t="s">
        <v>5</v>
      </c>
      <c r="D23" s="5" t="s">
        <v>212</v>
      </c>
      <c r="E23" s="5" t="s">
        <v>217</v>
      </c>
      <c r="F23" s="5">
        <f>IFERROR(VLOOKUP(B23,[1]Sheet1!A:B,2,0),0)</f>
        <v>10</v>
      </c>
      <c r="G23" s="5">
        <f>IFERROR(VLOOKUP(B23,[1]Sheet1!A:E,5,0),0)</f>
        <v>6</v>
      </c>
      <c r="H23" s="5">
        <f>IFERROR(VLOOKUP(B23,[1]Sheet1!A:E,4,0),0)</f>
        <v>111</v>
      </c>
      <c r="I23" s="5">
        <f t="shared" si="0"/>
        <v>117</v>
      </c>
      <c r="J23" s="5">
        <v>2959</v>
      </c>
      <c r="K23" s="6">
        <f t="shared" si="1"/>
        <v>0.47448462318350793</v>
      </c>
    </row>
    <row r="24" spans="1:11" ht="14.5" x14ac:dyDescent="0.25">
      <c r="A24" s="4">
        <v>25</v>
      </c>
      <c r="B24" s="5" t="s">
        <v>129</v>
      </c>
      <c r="C24" s="5" t="s">
        <v>5</v>
      </c>
      <c r="D24" s="5" t="s">
        <v>216</v>
      </c>
      <c r="E24" s="5" t="s">
        <v>217</v>
      </c>
      <c r="F24" s="5">
        <f>IFERROR(VLOOKUP(B24,[1]Sheet1!A:B,2,0),0)</f>
        <v>0</v>
      </c>
      <c r="G24" s="5">
        <f>IFERROR(VLOOKUP(B24,[1]Sheet1!A:E,5,0),0)</f>
        <v>0</v>
      </c>
      <c r="H24" s="5">
        <f>IFERROR(VLOOKUP(B24,[1]Sheet1!A:E,4,0),0)</f>
        <v>71</v>
      </c>
      <c r="I24" s="5">
        <f t="shared" si="0"/>
        <v>71</v>
      </c>
      <c r="J24" s="5">
        <v>1996</v>
      </c>
      <c r="K24" s="6">
        <f t="shared" si="1"/>
        <v>0.42685370741482964</v>
      </c>
    </row>
    <row r="25" spans="1:11" ht="14.5" x14ac:dyDescent="0.25">
      <c r="A25" s="4">
        <v>26</v>
      </c>
      <c r="B25" s="5" t="s">
        <v>52</v>
      </c>
      <c r="C25" s="5" t="s">
        <v>5</v>
      </c>
      <c r="D25" s="5" t="s">
        <v>225</v>
      </c>
      <c r="E25" s="5" t="s">
        <v>217</v>
      </c>
      <c r="F25" s="5">
        <f>IFERROR(VLOOKUP(B25,[1]Sheet1!A:B,2,0),0)</f>
        <v>0</v>
      </c>
      <c r="G25" s="5">
        <f>IFERROR(VLOOKUP(B25,[1]Sheet1!A:E,5,0),0)</f>
        <v>6</v>
      </c>
      <c r="H25" s="5">
        <f>IFERROR(VLOOKUP(B25,[1]Sheet1!A:E,4,0),0)</f>
        <v>36</v>
      </c>
      <c r="I25" s="5">
        <f t="shared" si="0"/>
        <v>42</v>
      </c>
      <c r="J25" s="5">
        <v>1179</v>
      </c>
      <c r="K25" s="6">
        <f t="shared" si="1"/>
        <v>0.42748091603053434</v>
      </c>
    </row>
    <row r="26" spans="1:11" ht="14.5" x14ac:dyDescent="0.25">
      <c r="A26" s="4">
        <v>27</v>
      </c>
      <c r="B26" s="5" t="s">
        <v>113</v>
      </c>
      <c r="C26" s="5" t="s">
        <v>5</v>
      </c>
      <c r="D26" s="5" t="s">
        <v>214</v>
      </c>
      <c r="E26" s="5" t="s">
        <v>217</v>
      </c>
      <c r="F26" s="5">
        <f>IFERROR(VLOOKUP(B26,[1]Sheet1!A:B,2,0),0)</f>
        <v>0</v>
      </c>
      <c r="G26" s="5">
        <f>IFERROR(VLOOKUP(B26,[1]Sheet1!A:E,5,0),0)</f>
        <v>0</v>
      </c>
      <c r="H26" s="5">
        <f>IFERROR(VLOOKUP(B26,[1]Sheet1!A:E,4,0),0)</f>
        <v>87</v>
      </c>
      <c r="I26" s="5">
        <f t="shared" si="0"/>
        <v>87</v>
      </c>
      <c r="J26" s="5">
        <v>2219</v>
      </c>
      <c r="K26" s="6">
        <f t="shared" si="1"/>
        <v>0.47048219918882384</v>
      </c>
    </row>
    <row r="27" spans="1:11" ht="14.5" x14ac:dyDescent="0.25">
      <c r="A27" s="4">
        <v>28</v>
      </c>
      <c r="B27" s="5" t="s">
        <v>128</v>
      </c>
      <c r="C27" s="5" t="s">
        <v>5</v>
      </c>
      <c r="D27" s="5" t="s">
        <v>215</v>
      </c>
      <c r="E27" s="5" t="s">
        <v>217</v>
      </c>
      <c r="F27" s="5">
        <f>IFERROR(VLOOKUP(B27,[1]Sheet1!A:B,2,0),0)</f>
        <v>0</v>
      </c>
      <c r="G27" s="5">
        <f>IFERROR(VLOOKUP(B27,[1]Sheet1!A:E,5,0),0)</f>
        <v>0</v>
      </c>
      <c r="H27" s="5">
        <f>IFERROR(VLOOKUP(B27,[1]Sheet1!A:E,4,0),0)</f>
        <v>40</v>
      </c>
      <c r="I27" s="5">
        <f t="shared" si="0"/>
        <v>40</v>
      </c>
      <c r="J27" s="5">
        <v>1073</v>
      </c>
      <c r="K27" s="6">
        <f t="shared" si="1"/>
        <v>0.44734389561975768</v>
      </c>
    </row>
    <row r="28" spans="1:11" ht="14.5" x14ac:dyDescent="0.25">
      <c r="A28" s="4">
        <v>30</v>
      </c>
      <c r="B28" s="5" t="s">
        <v>49</v>
      </c>
      <c r="C28" s="5" t="s">
        <v>5</v>
      </c>
      <c r="D28" s="5" t="s">
        <v>210</v>
      </c>
      <c r="E28" s="5" t="s">
        <v>181</v>
      </c>
      <c r="F28" s="5">
        <f>IFERROR(VLOOKUP(B28,[1]Sheet1!A:B,2,0),0)</f>
        <v>0</v>
      </c>
      <c r="G28" s="5">
        <f>IFERROR(VLOOKUP(B28,[1]Sheet1!A:E,5,0),0)</f>
        <v>0</v>
      </c>
      <c r="H28" s="5">
        <f>IFERROR(VLOOKUP(B28,[1]Sheet1!A:E,4,0),0)</f>
        <v>174</v>
      </c>
      <c r="I28" s="5">
        <f t="shared" si="0"/>
        <v>174</v>
      </c>
      <c r="J28" s="5">
        <v>4704</v>
      </c>
      <c r="K28" s="6">
        <f t="shared" si="1"/>
        <v>0.44387755102040816</v>
      </c>
    </row>
    <row r="29" spans="1:11" ht="14.5" x14ac:dyDescent="0.25">
      <c r="A29" s="4">
        <v>31</v>
      </c>
      <c r="B29" s="5" t="s">
        <v>26</v>
      </c>
      <c r="C29" s="5" t="s">
        <v>5</v>
      </c>
      <c r="D29" s="5" t="s">
        <v>183</v>
      </c>
      <c r="E29" s="5" t="s">
        <v>181</v>
      </c>
      <c r="F29" s="5">
        <f>IFERROR(VLOOKUP(B29,[1]Sheet1!A:B,2,0),0)</f>
        <v>0</v>
      </c>
      <c r="G29" s="5">
        <f>IFERROR(VLOOKUP(B29,[1]Sheet1!A:E,5,0),0)</f>
        <v>0</v>
      </c>
      <c r="H29" s="5">
        <f>IFERROR(VLOOKUP(B29,[1]Sheet1!A:E,4,0),0)</f>
        <v>207</v>
      </c>
      <c r="I29" s="5">
        <f t="shared" si="0"/>
        <v>207</v>
      </c>
      <c r="J29" s="5">
        <v>3462</v>
      </c>
      <c r="K29" s="6">
        <f t="shared" si="1"/>
        <v>0.71750433275563263</v>
      </c>
    </row>
    <row r="30" spans="1:11" ht="14.5" x14ac:dyDescent="0.25">
      <c r="A30" s="4">
        <v>32</v>
      </c>
      <c r="B30" s="5" t="s">
        <v>23</v>
      </c>
      <c r="C30" s="5" t="s">
        <v>5</v>
      </c>
      <c r="D30" s="5" t="s">
        <v>184</v>
      </c>
      <c r="E30" s="5" t="s">
        <v>181</v>
      </c>
      <c r="F30" s="5">
        <f>IFERROR(VLOOKUP(B30,[1]Sheet1!A:B,2,0),0)</f>
        <v>0</v>
      </c>
      <c r="G30" s="5">
        <f>IFERROR(VLOOKUP(B30,[1]Sheet1!A:E,5,0),0)</f>
        <v>32</v>
      </c>
      <c r="H30" s="5">
        <f>IFERROR(VLOOKUP(B30,[1]Sheet1!A:E,4,0),0)</f>
        <v>76</v>
      </c>
      <c r="I30" s="5">
        <f t="shared" si="0"/>
        <v>108</v>
      </c>
      <c r="J30" s="5">
        <v>3224</v>
      </c>
      <c r="K30" s="6">
        <f t="shared" si="1"/>
        <v>0.40198511166253098</v>
      </c>
    </row>
    <row r="31" spans="1:11" ht="14.5" x14ac:dyDescent="0.25">
      <c r="A31" s="4">
        <v>34</v>
      </c>
      <c r="B31" s="5" t="s">
        <v>137</v>
      </c>
      <c r="C31" s="5" t="s">
        <v>5</v>
      </c>
      <c r="D31" s="5" t="s">
        <v>213</v>
      </c>
      <c r="E31" s="5" t="s">
        <v>181</v>
      </c>
      <c r="F31" s="5">
        <f>IFERROR(VLOOKUP(B31,[1]Sheet1!A:B,2,0),0)</f>
        <v>0</v>
      </c>
      <c r="G31" s="5">
        <f>IFERROR(VLOOKUP(B31,[1]Sheet1!A:E,5,0),0)</f>
        <v>6</v>
      </c>
      <c r="H31" s="5">
        <f>IFERROR(VLOOKUP(B31,[1]Sheet1!A:E,4,0),0)</f>
        <v>56</v>
      </c>
      <c r="I31" s="5">
        <f t="shared" si="0"/>
        <v>62</v>
      </c>
      <c r="J31" s="5">
        <v>1869</v>
      </c>
      <c r="K31" s="6">
        <f t="shared" si="1"/>
        <v>0.39807383627608345</v>
      </c>
    </row>
    <row r="32" spans="1:11" ht="14.5" x14ac:dyDescent="0.25">
      <c r="A32" s="4">
        <v>35</v>
      </c>
      <c r="B32" s="5" t="s">
        <v>50</v>
      </c>
      <c r="C32" s="5" t="s">
        <v>5</v>
      </c>
      <c r="D32" s="5" t="s">
        <v>218</v>
      </c>
      <c r="E32" s="5" t="s">
        <v>181</v>
      </c>
      <c r="F32" s="5">
        <f>IFERROR(VLOOKUP(B32,[1]Sheet1!A:B,2,0),0)</f>
        <v>14</v>
      </c>
      <c r="G32" s="5">
        <f>IFERROR(VLOOKUP(B32,[1]Sheet1!A:E,5,0),0)</f>
        <v>0</v>
      </c>
      <c r="H32" s="5">
        <f>IFERROR(VLOOKUP(B32,[1]Sheet1!A:E,4,0),0)</f>
        <v>164</v>
      </c>
      <c r="I32" s="5">
        <f t="shared" si="0"/>
        <v>164</v>
      </c>
      <c r="J32" s="5">
        <v>4576</v>
      </c>
      <c r="K32" s="6">
        <f t="shared" si="1"/>
        <v>0.43006993006993011</v>
      </c>
    </row>
    <row r="33" spans="1:11" ht="14.5" x14ac:dyDescent="0.25">
      <c r="A33" s="4">
        <v>36</v>
      </c>
      <c r="B33" s="5" t="s">
        <v>48</v>
      </c>
      <c r="C33" s="5" t="s">
        <v>5</v>
      </c>
      <c r="D33" s="5" t="s">
        <v>219</v>
      </c>
      <c r="E33" s="5" t="s">
        <v>181</v>
      </c>
      <c r="F33" s="5">
        <f>IFERROR(VLOOKUP(B33,[1]Sheet1!A:B,2,0),0)</f>
        <v>0</v>
      </c>
      <c r="G33" s="5">
        <f>IFERROR(VLOOKUP(B33,[1]Sheet1!A:E,5,0),0)</f>
        <v>0</v>
      </c>
      <c r="H33" s="5">
        <f>IFERROR(VLOOKUP(B33,[1]Sheet1!A:E,4,0),0)</f>
        <v>116</v>
      </c>
      <c r="I33" s="5">
        <f t="shared" si="0"/>
        <v>116</v>
      </c>
      <c r="J33" s="5">
        <v>3055</v>
      </c>
      <c r="K33" s="6">
        <f t="shared" si="1"/>
        <v>0.45564648117839607</v>
      </c>
    </row>
    <row r="34" spans="1:11" ht="14.5" x14ac:dyDescent="0.25">
      <c r="A34" s="4">
        <v>37</v>
      </c>
      <c r="B34" s="5" t="s">
        <v>220</v>
      </c>
      <c r="C34" s="5" t="s">
        <v>5</v>
      </c>
      <c r="D34" s="5" t="s">
        <v>221</v>
      </c>
      <c r="E34" s="5" t="s">
        <v>181</v>
      </c>
      <c r="F34" s="5">
        <f>IFERROR(VLOOKUP(B34,[1]Sheet1!A:B,2,0),0)</f>
        <v>0</v>
      </c>
      <c r="G34" s="5">
        <f>IFERROR(VLOOKUP(B34,[1]Sheet1!A:E,5,0),0)</f>
        <v>0</v>
      </c>
      <c r="H34" s="5">
        <f>IFERROR(VLOOKUP(B34,[1]Sheet1!A:E,4,0),0)</f>
        <v>59</v>
      </c>
      <c r="I34" s="5">
        <f t="shared" si="0"/>
        <v>59</v>
      </c>
      <c r="J34" s="5">
        <v>2260</v>
      </c>
      <c r="K34" s="6">
        <f t="shared" si="1"/>
        <v>0.31327433628318585</v>
      </c>
    </row>
    <row r="35" spans="1:11" ht="14.5" x14ac:dyDescent="0.25">
      <c r="A35" s="4">
        <v>38</v>
      </c>
      <c r="B35" s="5" t="s">
        <v>71</v>
      </c>
      <c r="C35" s="5" t="s">
        <v>5</v>
      </c>
      <c r="D35" s="5" t="s">
        <v>222</v>
      </c>
      <c r="E35" s="5" t="s">
        <v>181</v>
      </c>
      <c r="F35" s="5">
        <f>IFERROR(VLOOKUP(B35,[1]Sheet1!A:B,2,0),0)</f>
        <v>0</v>
      </c>
      <c r="G35" s="5">
        <f>IFERROR(VLOOKUP(B35,[1]Sheet1!A:E,5,0),0)</f>
        <v>0</v>
      </c>
      <c r="H35" s="5">
        <f>IFERROR(VLOOKUP(B35,[1]Sheet1!A:E,4,0),0)</f>
        <v>166</v>
      </c>
      <c r="I35" s="5">
        <f t="shared" si="0"/>
        <v>166</v>
      </c>
      <c r="J35" s="5">
        <v>4329</v>
      </c>
      <c r="K35" s="6">
        <f t="shared" si="1"/>
        <v>0.46015246015246014</v>
      </c>
    </row>
    <row r="36" spans="1:11" ht="14.5" x14ac:dyDescent="0.25">
      <c r="A36" s="4">
        <v>39</v>
      </c>
      <c r="B36" s="5" t="s">
        <v>47</v>
      </c>
      <c r="C36" s="5" t="s">
        <v>5</v>
      </c>
      <c r="D36" s="5" t="s">
        <v>223</v>
      </c>
      <c r="E36" s="5" t="s">
        <v>181</v>
      </c>
      <c r="F36" s="5">
        <f>IFERROR(VLOOKUP(B36,[1]Sheet1!A:B,2,0),0)</f>
        <v>7</v>
      </c>
      <c r="G36" s="5">
        <f>IFERROR(VLOOKUP(B36,[1]Sheet1!A:E,5,0),0)</f>
        <v>0</v>
      </c>
      <c r="H36" s="5">
        <f>IFERROR(VLOOKUP(B36,[1]Sheet1!A:E,4,0),0)</f>
        <v>110</v>
      </c>
      <c r="I36" s="5">
        <f t="shared" si="0"/>
        <v>110</v>
      </c>
      <c r="J36" s="5">
        <v>2753</v>
      </c>
      <c r="K36" s="6">
        <f t="shared" si="1"/>
        <v>0.4794769342535416</v>
      </c>
    </row>
    <row r="37" spans="1:11" ht="14.5" x14ac:dyDescent="0.25">
      <c r="A37" s="4">
        <v>40</v>
      </c>
      <c r="B37" s="5" t="s">
        <v>53</v>
      </c>
      <c r="C37" s="5" t="s">
        <v>5</v>
      </c>
      <c r="D37" s="5" t="s">
        <v>224</v>
      </c>
      <c r="E37" s="5" t="s">
        <v>181</v>
      </c>
      <c r="F37" s="5">
        <f>IFERROR(VLOOKUP(B37,[1]Sheet1!A:B,2,0),0)</f>
        <v>0</v>
      </c>
      <c r="G37" s="5">
        <f>IFERROR(VLOOKUP(B37,[1]Sheet1!A:E,5,0),0)</f>
        <v>0</v>
      </c>
      <c r="H37" s="5">
        <f>IFERROR(VLOOKUP(B37,[1]Sheet1!A:E,4,0),0)</f>
        <v>61</v>
      </c>
      <c r="I37" s="5">
        <f t="shared" si="0"/>
        <v>61</v>
      </c>
      <c r="J37" s="5">
        <v>1411</v>
      </c>
      <c r="K37" s="6">
        <f t="shared" si="1"/>
        <v>0.51878100637845503</v>
      </c>
    </row>
    <row r="38" spans="1:11" ht="14.5" x14ac:dyDescent="0.25">
      <c r="A38" s="4">
        <v>41</v>
      </c>
      <c r="B38" s="5" t="s">
        <v>51</v>
      </c>
      <c r="C38" s="5" t="s">
        <v>5</v>
      </c>
      <c r="D38" s="5" t="s">
        <v>182</v>
      </c>
      <c r="E38" s="5" t="s">
        <v>202</v>
      </c>
      <c r="F38" s="5">
        <f>IFERROR(VLOOKUP(B38,[1]Sheet1!A:B,2,0),0)</f>
        <v>1</v>
      </c>
      <c r="G38" s="5">
        <f>IFERROR(VLOOKUP(B38,[1]Sheet1!A:E,5,0),0)</f>
        <v>21</v>
      </c>
      <c r="H38" s="5">
        <f>IFERROR(VLOOKUP(B38,[1]Sheet1!A:E,4,0),0)</f>
        <v>123</v>
      </c>
      <c r="I38" s="5">
        <f t="shared" si="0"/>
        <v>144</v>
      </c>
      <c r="J38" s="5">
        <v>3834</v>
      </c>
      <c r="K38" s="6">
        <f t="shared" si="1"/>
        <v>0.45070422535211269</v>
      </c>
    </row>
    <row r="39" spans="1:11" ht="14.5" x14ac:dyDescent="0.25">
      <c r="A39" s="4">
        <v>42</v>
      </c>
      <c r="B39" s="5" t="s">
        <v>103</v>
      </c>
      <c r="C39" s="5" t="s">
        <v>5</v>
      </c>
      <c r="D39" s="5" t="s">
        <v>185</v>
      </c>
      <c r="E39" s="5" t="s">
        <v>202</v>
      </c>
      <c r="F39" s="5">
        <f>IFERROR(VLOOKUP(B39,[1]Sheet1!A:B,2,0),0)</f>
        <v>4</v>
      </c>
      <c r="G39" s="5">
        <f>IFERROR(VLOOKUP(B39,[1]Sheet1!A:E,5,0),0)</f>
        <v>0</v>
      </c>
      <c r="H39" s="5">
        <f>IFERROR(VLOOKUP(B39,[1]Sheet1!A:E,4,0),0)</f>
        <v>5</v>
      </c>
      <c r="I39" s="5">
        <f t="shared" si="0"/>
        <v>5</v>
      </c>
      <c r="J39" s="5">
        <v>2002</v>
      </c>
      <c r="K39" s="6">
        <f t="shared" si="1"/>
        <v>2.9970029970029968E-2</v>
      </c>
    </row>
    <row r="40" spans="1:11" ht="14.5" x14ac:dyDescent="0.25">
      <c r="A40" s="4">
        <v>43</v>
      </c>
      <c r="B40" s="5" t="s">
        <v>91</v>
      </c>
      <c r="C40" s="5" t="s">
        <v>5</v>
      </c>
      <c r="D40" s="5" t="s">
        <v>186</v>
      </c>
      <c r="E40" s="5" t="s">
        <v>202</v>
      </c>
      <c r="F40" s="5">
        <f>IFERROR(VLOOKUP(B40,[1]Sheet1!A:B,2,0),0)</f>
        <v>6</v>
      </c>
      <c r="G40" s="5">
        <f>IFERROR(VLOOKUP(B40,[1]Sheet1!A:E,5,0),0)</f>
        <v>41</v>
      </c>
      <c r="H40" s="5">
        <f>IFERROR(VLOOKUP(B40,[1]Sheet1!A:E,4,0),0)</f>
        <v>39</v>
      </c>
      <c r="I40" s="5">
        <f t="shared" si="0"/>
        <v>80</v>
      </c>
      <c r="J40" s="5">
        <v>3253</v>
      </c>
      <c r="K40" s="6">
        <f t="shared" si="1"/>
        <v>0.29511220411927452</v>
      </c>
    </row>
    <row r="41" spans="1:11" ht="14.5" x14ac:dyDescent="0.25">
      <c r="A41" s="4">
        <v>44</v>
      </c>
      <c r="B41" s="5" t="s">
        <v>99</v>
      </c>
      <c r="C41" s="5" t="s">
        <v>5</v>
      </c>
      <c r="D41" s="5" t="s">
        <v>187</v>
      </c>
      <c r="E41" s="5" t="s">
        <v>202</v>
      </c>
      <c r="F41" s="5">
        <f>IFERROR(VLOOKUP(B41,[1]Sheet1!A:B,2,0),0)</f>
        <v>0</v>
      </c>
      <c r="G41" s="5">
        <f>IFERROR(VLOOKUP(B41,[1]Sheet1!A:E,5,0),0)</f>
        <v>0</v>
      </c>
      <c r="H41" s="5">
        <f>IFERROR(VLOOKUP(B41,[1]Sheet1!A:E,4,0),0)</f>
        <v>5</v>
      </c>
      <c r="I41" s="5">
        <f t="shared" si="0"/>
        <v>5</v>
      </c>
      <c r="J41" s="5">
        <v>2651</v>
      </c>
      <c r="K41" s="6">
        <f t="shared" si="1"/>
        <v>2.263296869105998E-2</v>
      </c>
    </row>
    <row r="42" spans="1:11" ht="14.5" x14ac:dyDescent="0.25">
      <c r="A42" s="4">
        <v>45</v>
      </c>
      <c r="B42" s="5" t="s">
        <v>89</v>
      </c>
      <c r="C42" s="5" t="s">
        <v>5</v>
      </c>
      <c r="D42" s="5" t="s">
        <v>188</v>
      </c>
      <c r="E42" s="5" t="s">
        <v>202</v>
      </c>
      <c r="F42" s="5">
        <f>IFERROR(VLOOKUP(B42,[1]Sheet1!A:B,2,0),0)</f>
        <v>2</v>
      </c>
      <c r="G42" s="5">
        <f>IFERROR(VLOOKUP(B42,[1]Sheet1!A:E,5,0),0)</f>
        <v>0</v>
      </c>
      <c r="H42" s="5">
        <f>IFERROR(VLOOKUP(B42,[1]Sheet1!A:E,4,0),0)</f>
        <v>64</v>
      </c>
      <c r="I42" s="5">
        <f t="shared" si="0"/>
        <v>64</v>
      </c>
      <c r="J42" s="5">
        <v>3256</v>
      </c>
      <c r="K42" s="6">
        <f t="shared" si="1"/>
        <v>0.23587223587223588</v>
      </c>
    </row>
    <row r="43" spans="1:11" ht="14.5" x14ac:dyDescent="0.25">
      <c r="A43" s="4">
        <v>46</v>
      </c>
      <c r="B43" s="5" t="s">
        <v>88</v>
      </c>
      <c r="C43" s="5" t="s">
        <v>5</v>
      </c>
      <c r="D43" s="5" t="s">
        <v>189</v>
      </c>
      <c r="E43" s="5" t="s">
        <v>202</v>
      </c>
      <c r="F43" s="5">
        <f>IFERROR(VLOOKUP(B43,[1]Sheet1!A:B,2,0),0)</f>
        <v>18</v>
      </c>
      <c r="G43" s="5">
        <f>IFERROR(VLOOKUP(B43,[1]Sheet1!A:E,5,0),0)</f>
        <v>23</v>
      </c>
      <c r="H43" s="5">
        <f>IFERROR(VLOOKUP(B43,[1]Sheet1!A:E,4,0),0)</f>
        <v>78</v>
      </c>
      <c r="I43" s="5">
        <f t="shared" si="0"/>
        <v>101</v>
      </c>
      <c r="J43" s="5">
        <v>3866</v>
      </c>
      <c r="K43" s="6">
        <f t="shared" si="1"/>
        <v>0.31350232798758404</v>
      </c>
    </row>
    <row r="44" spans="1:11" ht="14.5" x14ac:dyDescent="0.25">
      <c r="A44" s="4">
        <v>47</v>
      </c>
      <c r="B44" s="5" t="s">
        <v>110</v>
      </c>
      <c r="C44" s="5" t="s">
        <v>5</v>
      </c>
      <c r="D44" s="5" t="s">
        <v>226</v>
      </c>
      <c r="E44" s="5" t="s">
        <v>202</v>
      </c>
      <c r="F44" s="5">
        <f>IFERROR(VLOOKUP(B44,[1]Sheet1!A:B,2,0),0)</f>
        <v>0</v>
      </c>
      <c r="G44" s="5">
        <f>IFERROR(VLOOKUP(B44,[1]Sheet1!A:E,5,0),0)</f>
        <v>0</v>
      </c>
      <c r="H44" s="5">
        <f>IFERROR(VLOOKUP(B44,[1]Sheet1!A:E,4,0),0)</f>
        <v>142</v>
      </c>
      <c r="I44" s="5">
        <f t="shared" si="0"/>
        <v>142</v>
      </c>
      <c r="J44" s="5">
        <v>3948</v>
      </c>
      <c r="K44" s="6">
        <f t="shared" si="1"/>
        <v>0.43161094224924013</v>
      </c>
    </row>
    <row r="45" spans="1:11" ht="14.5" x14ac:dyDescent="0.25">
      <c r="A45" s="4">
        <v>48</v>
      </c>
      <c r="B45" s="5" t="s">
        <v>90</v>
      </c>
      <c r="C45" s="5" t="s">
        <v>5</v>
      </c>
      <c r="D45" s="5" t="s">
        <v>197</v>
      </c>
      <c r="E45" s="5" t="s">
        <v>202</v>
      </c>
      <c r="F45" s="5">
        <f>IFERROR(VLOOKUP(B45,[1]Sheet1!A:B,2,0),0)</f>
        <v>0</v>
      </c>
      <c r="G45" s="5">
        <f>IFERROR(VLOOKUP(B45,[1]Sheet1!A:E,5,0),0)</f>
        <v>0</v>
      </c>
      <c r="H45" s="5">
        <f>IFERROR(VLOOKUP(B45,[1]Sheet1!A:E,4,0),0)</f>
        <v>53</v>
      </c>
      <c r="I45" s="5">
        <f t="shared" si="0"/>
        <v>53</v>
      </c>
      <c r="J45" s="5">
        <v>1674</v>
      </c>
      <c r="K45" s="6">
        <f t="shared" si="1"/>
        <v>0.37992831541218636</v>
      </c>
    </row>
    <row r="46" spans="1:11" ht="14.5" x14ac:dyDescent="0.25">
      <c r="A46" s="4">
        <v>49</v>
      </c>
      <c r="B46" s="5" t="s">
        <v>198</v>
      </c>
      <c r="C46" s="5" t="s">
        <v>5</v>
      </c>
      <c r="D46" s="5" t="s">
        <v>199</v>
      </c>
      <c r="E46" s="5" t="s">
        <v>202</v>
      </c>
      <c r="F46" s="5">
        <f>IFERROR(VLOOKUP(B46,[1]Sheet1!A:B,2,0),0)</f>
        <v>0</v>
      </c>
      <c r="G46" s="5">
        <f>IFERROR(VLOOKUP(B46,[1]Sheet1!A:E,5,0),0)</f>
        <v>0</v>
      </c>
      <c r="H46" s="5">
        <f>IFERROR(VLOOKUP(B46,[1]Sheet1!A:E,4,0),0)</f>
        <v>177</v>
      </c>
      <c r="I46" s="5">
        <f t="shared" si="0"/>
        <v>177</v>
      </c>
      <c r="J46" s="5">
        <v>3141</v>
      </c>
      <c r="K46" s="6">
        <f t="shared" si="1"/>
        <v>0.67621776504297992</v>
      </c>
    </row>
    <row r="47" spans="1:11" ht="14.5" x14ac:dyDescent="0.25">
      <c r="A47" s="4">
        <v>50</v>
      </c>
      <c r="B47" s="5" t="s">
        <v>367</v>
      </c>
      <c r="C47" s="5" t="s">
        <v>368</v>
      </c>
      <c r="D47" s="5" t="s">
        <v>369</v>
      </c>
      <c r="E47" s="5" t="s">
        <v>202</v>
      </c>
      <c r="F47" s="5">
        <f>IFERROR(VLOOKUP(B47,[1]Sheet1!A:B,2,0),0)</f>
        <v>0</v>
      </c>
      <c r="G47" s="5">
        <f>IFERROR(VLOOKUP(B47,[1]Sheet1!A:E,5,0),0)</f>
        <v>0</v>
      </c>
      <c r="H47" s="5">
        <f>IFERROR(VLOOKUP(B47,[1]Sheet1!A:E,4,0),0)</f>
        <v>82</v>
      </c>
      <c r="I47" s="5">
        <f t="shared" si="0"/>
        <v>82</v>
      </c>
      <c r="J47" s="5">
        <v>2140</v>
      </c>
      <c r="K47" s="6">
        <f t="shared" si="1"/>
        <v>0.45981308411214949</v>
      </c>
    </row>
    <row r="48" spans="1:11" ht="14.5" x14ac:dyDescent="0.25">
      <c r="A48" s="4">
        <v>51</v>
      </c>
      <c r="B48" s="5" t="s">
        <v>227</v>
      </c>
      <c r="C48" s="5" t="s">
        <v>1</v>
      </c>
      <c r="D48" s="5" t="s">
        <v>228</v>
      </c>
      <c r="E48" s="5" t="s">
        <v>234</v>
      </c>
      <c r="F48" s="5">
        <f>IFERROR(VLOOKUP(B48,[1]Sheet1!A:B,2,0),0)</f>
        <v>0</v>
      </c>
      <c r="G48" s="5">
        <f>IFERROR(VLOOKUP(B48,[1]Sheet1!A:E,5,0),0)</f>
        <v>40</v>
      </c>
      <c r="H48" s="5">
        <f>IFERROR(VLOOKUP(B48,[1]Sheet1!A:E,4,0),0)</f>
        <v>111</v>
      </c>
      <c r="I48" s="5">
        <f t="shared" si="0"/>
        <v>151</v>
      </c>
      <c r="J48" s="5">
        <v>3541</v>
      </c>
      <c r="K48" s="6">
        <f t="shared" si="1"/>
        <v>0.51171985314882806</v>
      </c>
    </row>
    <row r="49" spans="1:11" ht="14.5" x14ac:dyDescent="0.25">
      <c r="A49" s="4">
        <v>52</v>
      </c>
      <c r="B49" s="5" t="s">
        <v>72</v>
      </c>
      <c r="C49" s="5" t="s">
        <v>1</v>
      </c>
      <c r="D49" s="5" t="s">
        <v>229</v>
      </c>
      <c r="E49" s="5" t="s">
        <v>234</v>
      </c>
      <c r="F49" s="5">
        <f>IFERROR(VLOOKUP(B49,[1]Sheet1!A:B,2,0),0)</f>
        <v>0</v>
      </c>
      <c r="G49" s="5">
        <f>IFERROR(VLOOKUP(B49,[1]Sheet1!A:E,5,0),0)</f>
        <v>74</v>
      </c>
      <c r="H49" s="5">
        <f>IFERROR(VLOOKUP(B49,[1]Sheet1!A:E,4,0),0)</f>
        <v>66</v>
      </c>
      <c r="I49" s="5">
        <f t="shared" si="0"/>
        <v>140</v>
      </c>
      <c r="J49" s="5">
        <v>3405</v>
      </c>
      <c r="K49" s="6">
        <f t="shared" si="1"/>
        <v>0.4933920704845815</v>
      </c>
    </row>
    <row r="50" spans="1:11" ht="14.5" x14ac:dyDescent="0.25">
      <c r="A50" s="4">
        <v>53</v>
      </c>
      <c r="B50" s="5" t="s">
        <v>86</v>
      </c>
      <c r="C50" s="5" t="s">
        <v>1</v>
      </c>
      <c r="D50" s="5" t="s">
        <v>230</v>
      </c>
      <c r="E50" s="5" t="s">
        <v>234</v>
      </c>
      <c r="F50" s="5">
        <f>IFERROR(VLOOKUP(B50,[1]Sheet1!A:B,2,0),0)</f>
        <v>0</v>
      </c>
      <c r="G50" s="5">
        <f>IFERROR(VLOOKUP(B50,[1]Sheet1!A:E,5,0),0)</f>
        <v>47</v>
      </c>
      <c r="H50" s="5">
        <f>IFERROR(VLOOKUP(B50,[1]Sheet1!A:E,4,0),0)</f>
        <v>97</v>
      </c>
      <c r="I50" s="5">
        <f t="shared" si="0"/>
        <v>144</v>
      </c>
      <c r="J50" s="5">
        <v>3725</v>
      </c>
      <c r="K50" s="6">
        <f t="shared" si="1"/>
        <v>0.46389261744966442</v>
      </c>
    </row>
    <row r="51" spans="1:11" ht="14.5" x14ac:dyDescent="0.25">
      <c r="A51" s="4">
        <v>54</v>
      </c>
      <c r="B51" s="5" t="s">
        <v>14</v>
      </c>
      <c r="C51" s="5" t="s">
        <v>1</v>
      </c>
      <c r="D51" s="5" t="s">
        <v>231</v>
      </c>
      <c r="E51" s="5" t="s">
        <v>234</v>
      </c>
      <c r="F51" s="5">
        <f>IFERROR(VLOOKUP(B51,[1]Sheet1!A:B,2,0),0)</f>
        <v>0</v>
      </c>
      <c r="G51" s="5">
        <f>IFERROR(VLOOKUP(B51,[1]Sheet1!A:E,5,0),0)</f>
        <v>24</v>
      </c>
      <c r="H51" s="5">
        <f>IFERROR(VLOOKUP(B51,[1]Sheet1!A:E,4,0),0)</f>
        <v>44</v>
      </c>
      <c r="I51" s="5">
        <f t="shared" si="0"/>
        <v>68</v>
      </c>
      <c r="J51" s="5">
        <v>1411</v>
      </c>
      <c r="K51" s="6">
        <f t="shared" si="1"/>
        <v>0.57831325301204817</v>
      </c>
    </row>
    <row r="52" spans="1:11" ht="14.5" x14ac:dyDescent="0.25">
      <c r="A52" s="4">
        <v>56</v>
      </c>
      <c r="B52" s="5" t="s">
        <v>29</v>
      </c>
      <c r="C52" s="5" t="s">
        <v>1</v>
      </c>
      <c r="D52" s="5" t="s">
        <v>232</v>
      </c>
      <c r="E52" s="5" t="s">
        <v>234</v>
      </c>
      <c r="F52" s="5">
        <f>IFERROR(VLOOKUP(B52,[1]Sheet1!A:B,2,0),0)</f>
        <v>0</v>
      </c>
      <c r="G52" s="5">
        <f>IFERROR(VLOOKUP(B52,[1]Sheet1!A:E,5,0),0)</f>
        <v>0</v>
      </c>
      <c r="H52" s="5">
        <f>IFERROR(VLOOKUP(B52,[1]Sheet1!A:E,4,0),0)</f>
        <v>311</v>
      </c>
      <c r="I52" s="5">
        <f t="shared" si="0"/>
        <v>311</v>
      </c>
      <c r="J52" s="5">
        <v>7300</v>
      </c>
      <c r="K52" s="6">
        <f t="shared" si="1"/>
        <v>0.51123287671232875</v>
      </c>
    </row>
    <row r="53" spans="1:11" ht="14.5" x14ac:dyDescent="0.25">
      <c r="A53" s="4">
        <v>57</v>
      </c>
      <c r="B53" s="5" t="s">
        <v>79</v>
      </c>
      <c r="C53" s="5" t="s">
        <v>1</v>
      </c>
      <c r="D53" s="5" t="s">
        <v>233</v>
      </c>
      <c r="E53" s="5" t="s">
        <v>234</v>
      </c>
      <c r="F53" s="5">
        <f>IFERROR(VLOOKUP(B53,[1]Sheet1!A:B,2,0),0)</f>
        <v>0</v>
      </c>
      <c r="G53" s="5">
        <f>IFERROR(VLOOKUP(B53,[1]Sheet1!A:E,5,0),0)</f>
        <v>0</v>
      </c>
      <c r="H53" s="5">
        <f>IFERROR(VLOOKUP(B53,[1]Sheet1!A:E,4,0),0)</f>
        <v>142</v>
      </c>
      <c r="I53" s="5">
        <f t="shared" si="0"/>
        <v>142</v>
      </c>
      <c r="J53" s="5">
        <v>3604</v>
      </c>
      <c r="K53" s="6">
        <f t="shared" si="1"/>
        <v>0.47280799112097671</v>
      </c>
    </row>
    <row r="54" spans="1:11" ht="14.5" x14ac:dyDescent="0.25">
      <c r="A54" s="4">
        <v>58</v>
      </c>
      <c r="B54" s="5" t="s">
        <v>11</v>
      </c>
      <c r="C54" s="5" t="s">
        <v>1</v>
      </c>
      <c r="D54" s="5" t="s">
        <v>235</v>
      </c>
      <c r="E54" s="5" t="s">
        <v>234</v>
      </c>
      <c r="F54" s="5">
        <f>IFERROR(VLOOKUP(B54,[1]Sheet1!A:B,2,0),0)</f>
        <v>0</v>
      </c>
      <c r="G54" s="5">
        <f>IFERROR(VLOOKUP(B54,[1]Sheet1!A:E,5,0),0)</f>
        <v>47</v>
      </c>
      <c r="H54" s="5">
        <f>IFERROR(VLOOKUP(B54,[1]Sheet1!A:E,4,0),0)</f>
        <v>48</v>
      </c>
      <c r="I54" s="5">
        <f t="shared" si="0"/>
        <v>95</v>
      </c>
      <c r="J54" s="5">
        <v>2249</v>
      </c>
      <c r="K54" s="6">
        <f t="shared" si="1"/>
        <v>0.50689195197865722</v>
      </c>
    </row>
    <row r="55" spans="1:11" ht="14.5" x14ac:dyDescent="0.25">
      <c r="A55" s="4">
        <v>59</v>
      </c>
      <c r="B55" s="5" t="s">
        <v>236</v>
      </c>
      <c r="C55" s="5" t="s">
        <v>1</v>
      </c>
      <c r="D55" s="5" t="s">
        <v>237</v>
      </c>
      <c r="E55" s="5" t="s">
        <v>234</v>
      </c>
      <c r="F55" s="5">
        <f>IFERROR(VLOOKUP(B55,[1]Sheet1!A:B,2,0),0)</f>
        <v>0</v>
      </c>
      <c r="G55" s="5">
        <f>IFERROR(VLOOKUP(B55,[1]Sheet1!A:E,5,0),0)</f>
        <v>0</v>
      </c>
      <c r="H55" s="5">
        <f>IFERROR(VLOOKUP(B55,[1]Sheet1!A:E,4,0),0)</f>
        <v>121</v>
      </c>
      <c r="I55" s="5">
        <f t="shared" si="0"/>
        <v>121</v>
      </c>
      <c r="J55" s="5">
        <v>2881</v>
      </c>
      <c r="K55" s="6">
        <f t="shared" si="1"/>
        <v>0.50399166955918084</v>
      </c>
    </row>
    <row r="56" spans="1:11" ht="14.5" x14ac:dyDescent="0.25">
      <c r="A56" s="4">
        <v>60</v>
      </c>
      <c r="B56" s="5" t="s">
        <v>32</v>
      </c>
      <c r="C56" s="5" t="s">
        <v>1</v>
      </c>
      <c r="D56" s="5" t="s">
        <v>238</v>
      </c>
      <c r="E56" s="5" t="s">
        <v>234</v>
      </c>
      <c r="F56" s="5">
        <f>IFERROR(VLOOKUP(B56,[1]Sheet1!A:B,2,0),0)</f>
        <v>0</v>
      </c>
      <c r="G56" s="5">
        <f>IFERROR(VLOOKUP(B56,[1]Sheet1!A:E,5,0),0)</f>
        <v>0</v>
      </c>
      <c r="H56" s="5">
        <f>IFERROR(VLOOKUP(B56,[1]Sheet1!A:E,4,0),0)</f>
        <v>124</v>
      </c>
      <c r="I56" s="5">
        <f t="shared" si="0"/>
        <v>124</v>
      </c>
      <c r="J56" s="5">
        <v>3093</v>
      </c>
      <c r="K56" s="6">
        <f t="shared" si="1"/>
        <v>0.48108632395732298</v>
      </c>
    </row>
    <row r="57" spans="1:11" ht="14.5" x14ac:dyDescent="0.25">
      <c r="A57" s="4">
        <v>61</v>
      </c>
      <c r="B57" s="5" t="s">
        <v>37</v>
      </c>
      <c r="C57" s="5" t="s">
        <v>1</v>
      </c>
      <c r="D57" s="5" t="s">
        <v>239</v>
      </c>
      <c r="E57" s="5" t="s">
        <v>234</v>
      </c>
      <c r="F57" s="5">
        <f>IFERROR(VLOOKUP(B57,[1]Sheet1!A:B,2,0),0)</f>
        <v>0</v>
      </c>
      <c r="G57" s="5">
        <f>IFERROR(VLOOKUP(B57,[1]Sheet1!A:E,5,0),0)</f>
        <v>0</v>
      </c>
      <c r="H57" s="5">
        <f>IFERROR(VLOOKUP(B57,[1]Sheet1!A:E,4,0),0)</f>
        <v>196</v>
      </c>
      <c r="I57" s="5">
        <f t="shared" si="0"/>
        <v>196</v>
      </c>
      <c r="J57" s="5">
        <v>4071</v>
      </c>
      <c r="K57" s="6">
        <f t="shared" si="1"/>
        <v>0.57774502579218867</v>
      </c>
    </row>
    <row r="58" spans="1:11" ht="14.5" x14ac:dyDescent="0.25">
      <c r="A58" s="4">
        <v>62</v>
      </c>
      <c r="B58" s="5" t="s">
        <v>265</v>
      </c>
      <c r="C58" s="5" t="s">
        <v>1</v>
      </c>
      <c r="D58" s="5" t="s">
        <v>266</v>
      </c>
      <c r="E58" s="5" t="s">
        <v>351</v>
      </c>
      <c r="F58" s="5">
        <f>IFERROR(VLOOKUP(B58,[1]Sheet1!A:B,2,0),0)</f>
        <v>0</v>
      </c>
      <c r="G58" s="5">
        <f>IFERROR(VLOOKUP(B58,[1]Sheet1!A:E,5,0),0)</f>
        <v>0</v>
      </c>
      <c r="H58" s="5">
        <f>IFERROR(VLOOKUP(B58,[1]Sheet1!A:E,4,0),0)</f>
        <v>76</v>
      </c>
      <c r="I58" s="5">
        <f t="shared" si="0"/>
        <v>76</v>
      </c>
      <c r="J58" s="5">
        <v>2365</v>
      </c>
      <c r="K58" s="6">
        <f t="shared" si="1"/>
        <v>0.38562367864693442</v>
      </c>
    </row>
    <row r="59" spans="1:11" ht="14.5" x14ac:dyDescent="0.25">
      <c r="A59" s="4">
        <v>63</v>
      </c>
      <c r="B59" s="5" t="s">
        <v>267</v>
      </c>
      <c r="C59" s="5" t="s">
        <v>1</v>
      </c>
      <c r="D59" s="5" t="s">
        <v>268</v>
      </c>
      <c r="E59" s="5" t="s">
        <v>351</v>
      </c>
      <c r="F59" s="5">
        <f>IFERROR(VLOOKUP(B59,[1]Sheet1!A:B,2,0),0)</f>
        <v>0</v>
      </c>
      <c r="G59" s="5">
        <f>IFERROR(VLOOKUP(B59,[1]Sheet1!A:E,5,0),0)</f>
        <v>0</v>
      </c>
      <c r="H59" s="5">
        <f>IFERROR(VLOOKUP(B59,[1]Sheet1!A:E,4,0),0)</f>
        <v>4</v>
      </c>
      <c r="I59" s="5">
        <f t="shared" si="0"/>
        <v>4</v>
      </c>
      <c r="J59" s="5">
        <v>1603</v>
      </c>
      <c r="K59" s="6">
        <f t="shared" si="1"/>
        <v>2.9943855271366185E-2</v>
      </c>
    </row>
    <row r="60" spans="1:11" ht="14.5" x14ac:dyDescent="0.25">
      <c r="A60" s="4">
        <v>64</v>
      </c>
      <c r="B60" s="5" t="s">
        <v>119</v>
      </c>
      <c r="C60" s="5" t="s">
        <v>1</v>
      </c>
      <c r="D60" s="5" t="s">
        <v>269</v>
      </c>
      <c r="E60" s="5" t="s">
        <v>351</v>
      </c>
      <c r="F60" s="5">
        <f>IFERROR(VLOOKUP(B60,[1]Sheet1!A:B,2,0),0)</f>
        <v>0</v>
      </c>
      <c r="G60" s="5">
        <f>IFERROR(VLOOKUP(B60,[1]Sheet1!A:E,5,0),0)</f>
        <v>0</v>
      </c>
      <c r="H60" s="5">
        <f>IFERROR(VLOOKUP(B60,[1]Sheet1!A:E,4,0),0)</f>
        <v>1</v>
      </c>
      <c r="I60" s="5">
        <f t="shared" si="0"/>
        <v>1</v>
      </c>
      <c r="J60" s="5">
        <v>1595</v>
      </c>
      <c r="K60" s="6">
        <f t="shared" si="1"/>
        <v>7.5235109717868348E-3</v>
      </c>
    </row>
    <row r="61" spans="1:11" ht="14.5" x14ac:dyDescent="0.25">
      <c r="A61" s="4">
        <v>65</v>
      </c>
      <c r="B61" s="5" t="s">
        <v>123</v>
      </c>
      <c r="C61" s="5" t="s">
        <v>1</v>
      </c>
      <c r="D61" s="5" t="s">
        <v>270</v>
      </c>
      <c r="E61" s="5" t="s">
        <v>351</v>
      </c>
      <c r="F61" s="5">
        <f>IFERROR(VLOOKUP(B61,[1]Sheet1!A:B,2,0),0)</f>
        <v>0</v>
      </c>
      <c r="G61" s="5">
        <f>IFERROR(VLOOKUP(B61,[1]Sheet1!A:E,5,0),0)</f>
        <v>0</v>
      </c>
      <c r="H61" s="5">
        <f>IFERROR(VLOOKUP(B61,[1]Sheet1!A:E,4,0),0)</f>
        <v>162</v>
      </c>
      <c r="I61" s="5">
        <f t="shared" si="0"/>
        <v>162</v>
      </c>
      <c r="J61" s="5">
        <v>3167</v>
      </c>
      <c r="K61" s="6">
        <f t="shared" si="1"/>
        <v>0.61383012314493202</v>
      </c>
    </row>
    <row r="62" spans="1:11" ht="14.5" x14ac:dyDescent="0.25">
      <c r="A62" s="4">
        <v>66</v>
      </c>
      <c r="B62" s="5" t="s">
        <v>108</v>
      </c>
      <c r="C62" s="5" t="s">
        <v>1</v>
      </c>
      <c r="D62" s="5" t="s">
        <v>271</v>
      </c>
      <c r="E62" s="5" t="s">
        <v>351</v>
      </c>
      <c r="F62" s="5">
        <f>IFERROR(VLOOKUP(B62,[1]Sheet1!A:B,2,0),0)</f>
        <v>0</v>
      </c>
      <c r="G62" s="5">
        <f>IFERROR(VLOOKUP(B62,[1]Sheet1!A:E,5,0),0)</f>
        <v>0</v>
      </c>
      <c r="H62" s="5">
        <f>IFERROR(VLOOKUP(B62,[1]Sheet1!A:E,4,0),0)</f>
        <v>51</v>
      </c>
      <c r="I62" s="5">
        <f t="shared" si="0"/>
        <v>51</v>
      </c>
      <c r="J62" s="5">
        <v>1331</v>
      </c>
      <c r="K62" s="6">
        <f t="shared" si="1"/>
        <v>0.45980465815176558</v>
      </c>
    </row>
    <row r="63" spans="1:11" ht="14.5" x14ac:dyDescent="0.25">
      <c r="A63" s="4">
        <v>67</v>
      </c>
      <c r="B63" s="5" t="s">
        <v>19</v>
      </c>
      <c r="C63" s="5" t="s">
        <v>1</v>
      </c>
      <c r="D63" s="5" t="s">
        <v>272</v>
      </c>
      <c r="E63" s="5" t="s">
        <v>351</v>
      </c>
      <c r="F63" s="5">
        <f>IFERROR(VLOOKUP(B63,[1]Sheet1!A:B,2,0),0)</f>
        <v>0</v>
      </c>
      <c r="G63" s="5">
        <f>IFERROR(VLOOKUP(B63,[1]Sheet1!A:E,5,0),0)</f>
        <v>54</v>
      </c>
      <c r="H63" s="5">
        <f>IFERROR(VLOOKUP(B63,[1]Sheet1!A:E,4,0),0)</f>
        <v>99</v>
      </c>
      <c r="I63" s="5">
        <f t="shared" si="0"/>
        <v>153</v>
      </c>
      <c r="J63" s="5">
        <v>4498</v>
      </c>
      <c r="K63" s="6">
        <f t="shared" si="1"/>
        <v>0.40818141396176083</v>
      </c>
    </row>
    <row r="64" spans="1:11" ht="14.5" x14ac:dyDescent="0.25">
      <c r="A64" s="4">
        <v>69</v>
      </c>
      <c r="B64" s="5" t="s">
        <v>3</v>
      </c>
      <c r="C64" s="5" t="s">
        <v>1</v>
      </c>
      <c r="D64" s="5" t="s">
        <v>273</v>
      </c>
      <c r="E64" s="5" t="s">
        <v>351</v>
      </c>
      <c r="F64" s="5">
        <f>IFERROR(VLOOKUP(B64,[1]Sheet1!A:B,2,0),0)</f>
        <v>0</v>
      </c>
      <c r="G64" s="5">
        <f>IFERROR(VLOOKUP(B64,[1]Sheet1!A:E,5,0),0)</f>
        <v>62</v>
      </c>
      <c r="H64" s="5">
        <f>IFERROR(VLOOKUP(B64,[1]Sheet1!A:E,4,0),0)</f>
        <v>173</v>
      </c>
      <c r="I64" s="5">
        <f t="shared" si="0"/>
        <v>235</v>
      </c>
      <c r="J64" s="5">
        <v>5210</v>
      </c>
      <c r="K64" s="6">
        <f t="shared" si="1"/>
        <v>0.54126679462571969</v>
      </c>
    </row>
    <row r="65" spans="1:11" ht="14.5" x14ac:dyDescent="0.25">
      <c r="A65" s="4">
        <v>70</v>
      </c>
      <c r="B65" s="5" t="s">
        <v>95</v>
      </c>
      <c r="C65" s="5" t="s">
        <v>1</v>
      </c>
      <c r="D65" s="5" t="s">
        <v>274</v>
      </c>
      <c r="E65" s="5" t="s">
        <v>351</v>
      </c>
      <c r="F65" s="5">
        <f>IFERROR(VLOOKUP(B65,[1]Sheet1!A:B,2,0),0)</f>
        <v>0</v>
      </c>
      <c r="G65" s="5">
        <f>IFERROR(VLOOKUP(B65,[1]Sheet1!A:E,5,0),0)</f>
        <v>6</v>
      </c>
      <c r="H65" s="5">
        <f>IFERROR(VLOOKUP(B65,[1]Sheet1!A:E,4,0),0)</f>
        <v>81</v>
      </c>
      <c r="I65" s="5">
        <f t="shared" si="0"/>
        <v>87</v>
      </c>
      <c r="J65" s="5">
        <v>2050</v>
      </c>
      <c r="K65" s="6">
        <f t="shared" si="1"/>
        <v>0.50926829268292684</v>
      </c>
    </row>
    <row r="66" spans="1:11" ht="14.5" x14ac:dyDescent="0.25">
      <c r="A66" s="4">
        <v>71</v>
      </c>
      <c r="B66" s="5" t="s">
        <v>109</v>
      </c>
      <c r="C66" s="5" t="s">
        <v>1</v>
      </c>
      <c r="D66" s="5" t="s">
        <v>240</v>
      </c>
      <c r="E66" s="5" t="s">
        <v>250</v>
      </c>
      <c r="F66" s="5">
        <f>IFERROR(VLOOKUP(B66,[1]Sheet1!A:B,2,0),0)</f>
        <v>0</v>
      </c>
      <c r="G66" s="5">
        <f>IFERROR(VLOOKUP(B66,[1]Sheet1!A:E,5,0),0)</f>
        <v>0</v>
      </c>
      <c r="H66" s="5">
        <f>IFERROR(VLOOKUP(B66,[1]Sheet1!A:E,4,0),0)</f>
        <v>149</v>
      </c>
      <c r="I66" s="5">
        <f t="shared" ref="I66:I102" si="2">G66+H66</f>
        <v>149</v>
      </c>
      <c r="J66" s="5">
        <v>4576</v>
      </c>
      <c r="K66" s="6">
        <f t="shared" ref="K66:K102" si="3">I66/(J66/12)</f>
        <v>0.39073426573426573</v>
      </c>
    </row>
    <row r="67" spans="1:11" ht="14.5" x14ac:dyDescent="0.25">
      <c r="A67" s="4">
        <v>72</v>
      </c>
      <c r="B67" s="5" t="s">
        <v>63</v>
      </c>
      <c r="C67" s="5" t="s">
        <v>1</v>
      </c>
      <c r="D67" s="5" t="s">
        <v>241</v>
      </c>
      <c r="E67" s="5" t="s">
        <v>250</v>
      </c>
      <c r="F67" s="5">
        <f>IFERROR(VLOOKUP(B67,[1]Sheet1!A:B,2,0),0)</f>
        <v>0</v>
      </c>
      <c r="G67" s="5">
        <f>IFERROR(VLOOKUP(B67,[1]Sheet1!A:E,5,0),0)</f>
        <v>0</v>
      </c>
      <c r="H67" s="5">
        <f>IFERROR(VLOOKUP(B67,[1]Sheet1!A:E,4,0),0)</f>
        <v>91</v>
      </c>
      <c r="I67" s="5">
        <f t="shared" si="2"/>
        <v>91</v>
      </c>
      <c r="J67" s="5">
        <v>3839</v>
      </c>
      <c r="K67" s="6">
        <f t="shared" si="3"/>
        <v>0.28444907528002084</v>
      </c>
    </row>
    <row r="68" spans="1:11" ht="14.5" x14ac:dyDescent="0.25">
      <c r="A68" s="4">
        <v>73</v>
      </c>
      <c r="B68" s="5" t="s">
        <v>41</v>
      </c>
      <c r="C68" s="5" t="s">
        <v>1</v>
      </c>
      <c r="D68" s="5" t="s">
        <v>242</v>
      </c>
      <c r="E68" s="5" t="s">
        <v>250</v>
      </c>
      <c r="F68" s="5">
        <f>IFERROR(VLOOKUP(B68,[1]Sheet1!A:B,2,0),0)</f>
        <v>0</v>
      </c>
      <c r="G68" s="5">
        <f>IFERROR(VLOOKUP(B68,[1]Sheet1!A:E,5,0),0)</f>
        <v>22</v>
      </c>
      <c r="H68" s="5">
        <f>IFERROR(VLOOKUP(B68,[1]Sheet1!A:E,4,0),0)</f>
        <v>180</v>
      </c>
      <c r="I68" s="5">
        <f t="shared" si="2"/>
        <v>202</v>
      </c>
      <c r="J68" s="5">
        <v>3947</v>
      </c>
      <c r="K68" s="6">
        <f t="shared" si="3"/>
        <v>0.61413731948315176</v>
      </c>
    </row>
    <row r="69" spans="1:11" ht="14.5" x14ac:dyDescent="0.25">
      <c r="A69" s="4">
        <v>74</v>
      </c>
      <c r="B69" s="5" t="s">
        <v>13</v>
      </c>
      <c r="C69" s="5" t="s">
        <v>1</v>
      </c>
      <c r="D69" s="5" t="s">
        <v>243</v>
      </c>
      <c r="E69" s="5" t="s">
        <v>250</v>
      </c>
      <c r="F69" s="5">
        <f>IFERROR(VLOOKUP(B69,[1]Sheet1!A:B,2,0),0)</f>
        <v>0</v>
      </c>
      <c r="G69" s="5">
        <f>IFERROR(VLOOKUP(B69,[1]Sheet1!A:E,5,0),0)</f>
        <v>1</v>
      </c>
      <c r="H69" s="5">
        <f>IFERROR(VLOOKUP(B69,[1]Sheet1!A:E,4,0),0)</f>
        <v>59</v>
      </c>
      <c r="I69" s="5">
        <f t="shared" si="2"/>
        <v>60</v>
      </c>
      <c r="J69" s="5">
        <v>1472</v>
      </c>
      <c r="K69" s="6">
        <f t="shared" si="3"/>
        <v>0.4891304347826087</v>
      </c>
    </row>
    <row r="70" spans="1:11" ht="14.5" x14ac:dyDescent="0.25">
      <c r="A70" s="4">
        <v>75</v>
      </c>
      <c r="B70" s="5" t="s">
        <v>127</v>
      </c>
      <c r="C70" s="5" t="s">
        <v>1</v>
      </c>
      <c r="D70" s="5" t="s">
        <v>244</v>
      </c>
      <c r="E70" s="5" t="s">
        <v>250</v>
      </c>
      <c r="F70" s="5">
        <f>IFERROR(VLOOKUP(B70,[1]Sheet1!A:B,2,0),0)</f>
        <v>0</v>
      </c>
      <c r="G70" s="5">
        <f>IFERROR(VLOOKUP(B70,[1]Sheet1!A:E,5,0),0)</f>
        <v>0</v>
      </c>
      <c r="H70" s="5">
        <f>IFERROR(VLOOKUP(B70,[1]Sheet1!A:E,4,0),0)</f>
        <v>36</v>
      </c>
      <c r="I70" s="5">
        <f t="shared" si="2"/>
        <v>36</v>
      </c>
      <c r="J70" s="5">
        <v>754</v>
      </c>
      <c r="K70" s="6">
        <f t="shared" si="3"/>
        <v>0.57294429708222805</v>
      </c>
    </row>
    <row r="71" spans="1:11" ht="14.5" x14ac:dyDescent="0.25">
      <c r="A71" s="4">
        <v>76</v>
      </c>
      <c r="B71" s="5" t="s">
        <v>106</v>
      </c>
      <c r="C71" s="5" t="s">
        <v>1</v>
      </c>
      <c r="D71" s="5" t="s">
        <v>370</v>
      </c>
      <c r="E71" s="5" t="s">
        <v>371</v>
      </c>
      <c r="F71" s="5">
        <f>IFERROR(VLOOKUP(B71,[1]Sheet1!A:B,2,0),0)</f>
        <v>0</v>
      </c>
      <c r="G71" s="5">
        <f>IFERROR(VLOOKUP(B71,[1]Sheet1!A:E,5,0),0)</f>
        <v>0</v>
      </c>
      <c r="H71" s="5">
        <f>IFERROR(VLOOKUP(B71,[1]Sheet1!A:E,4,0),0)</f>
        <v>120</v>
      </c>
      <c r="I71" s="5">
        <f t="shared" si="2"/>
        <v>120</v>
      </c>
      <c r="J71" s="5">
        <v>3404</v>
      </c>
      <c r="K71" s="6">
        <f t="shared" si="3"/>
        <v>0.42303172737955341</v>
      </c>
    </row>
    <row r="72" spans="1:11" ht="14.5" x14ac:dyDescent="0.25">
      <c r="A72" s="4">
        <v>77</v>
      </c>
      <c r="B72" s="5" t="s">
        <v>245</v>
      </c>
      <c r="C72" s="5" t="s">
        <v>1</v>
      </c>
      <c r="D72" s="5" t="s">
        <v>246</v>
      </c>
      <c r="E72" s="5" t="s">
        <v>250</v>
      </c>
      <c r="F72" s="5">
        <f>IFERROR(VLOOKUP(B72,[1]Sheet1!A:B,2,0),0)</f>
        <v>0</v>
      </c>
      <c r="G72" s="5">
        <f>IFERROR(VLOOKUP(B72,[1]Sheet1!A:E,5,0),0)</f>
        <v>0</v>
      </c>
      <c r="H72" s="5">
        <f>IFERROR(VLOOKUP(B72,[1]Sheet1!A:E,4,0),0)</f>
        <v>133</v>
      </c>
      <c r="I72" s="5">
        <f t="shared" si="2"/>
        <v>133</v>
      </c>
      <c r="J72" s="5">
        <v>2959</v>
      </c>
      <c r="K72" s="6">
        <f t="shared" si="3"/>
        <v>0.53937140925988503</v>
      </c>
    </row>
    <row r="73" spans="1:11" ht="14.5" x14ac:dyDescent="0.25">
      <c r="A73" s="4">
        <v>78</v>
      </c>
      <c r="B73" s="5" t="s">
        <v>34</v>
      </c>
      <c r="C73" s="5" t="s">
        <v>1</v>
      </c>
      <c r="D73" s="5" t="s">
        <v>247</v>
      </c>
      <c r="E73" s="5" t="s">
        <v>250</v>
      </c>
      <c r="F73" s="5">
        <f>IFERROR(VLOOKUP(B73,[1]Sheet1!A:B,2,0),0)</f>
        <v>0</v>
      </c>
      <c r="G73" s="5">
        <f>IFERROR(VLOOKUP(B73,[1]Sheet1!A:E,5,0),0)</f>
        <v>0</v>
      </c>
      <c r="H73" s="5">
        <f>IFERROR(VLOOKUP(B73,[1]Sheet1!A:E,4,0),0)</f>
        <v>114</v>
      </c>
      <c r="I73" s="5">
        <f t="shared" si="2"/>
        <v>114</v>
      </c>
      <c r="J73" s="5">
        <v>3067</v>
      </c>
      <c r="K73" s="6">
        <f t="shared" si="3"/>
        <v>0.44603847407890446</v>
      </c>
    </row>
    <row r="74" spans="1:11" ht="14.5" x14ac:dyDescent="0.25">
      <c r="A74" s="4">
        <v>79</v>
      </c>
      <c r="B74" s="5" t="s">
        <v>248</v>
      </c>
      <c r="C74" s="5" t="s">
        <v>1</v>
      </c>
      <c r="D74" s="5" t="s">
        <v>249</v>
      </c>
      <c r="E74" s="5" t="s">
        <v>250</v>
      </c>
      <c r="F74" s="5">
        <f>IFERROR(VLOOKUP(B74,[1]Sheet1!A:B,2,0),0)</f>
        <v>0</v>
      </c>
      <c r="G74" s="5">
        <f>IFERROR(VLOOKUP(B74,[1]Sheet1!A:E,5,0),0)</f>
        <v>0</v>
      </c>
      <c r="H74" s="5">
        <f>IFERROR(VLOOKUP(B74,[1]Sheet1!A:E,4,0),0)</f>
        <v>19</v>
      </c>
      <c r="I74" s="5">
        <f t="shared" si="2"/>
        <v>19</v>
      </c>
      <c r="J74" s="5">
        <v>1003</v>
      </c>
      <c r="K74" s="6">
        <f t="shared" si="3"/>
        <v>0.22731804586241278</v>
      </c>
    </row>
    <row r="75" spans="1:11" ht="14.5" x14ac:dyDescent="0.25">
      <c r="A75" s="4">
        <v>80</v>
      </c>
      <c r="B75" s="5" t="s">
        <v>73</v>
      </c>
      <c r="C75" s="5" t="s">
        <v>1</v>
      </c>
      <c r="D75" s="5" t="s">
        <v>251</v>
      </c>
      <c r="E75" s="5" t="s">
        <v>250</v>
      </c>
      <c r="F75" s="5">
        <f>IFERROR(VLOOKUP(B75,[1]Sheet1!A:B,2,0),0)</f>
        <v>0</v>
      </c>
      <c r="G75" s="5">
        <f>IFERROR(VLOOKUP(B75,[1]Sheet1!A:E,5,0),0)</f>
        <v>0</v>
      </c>
      <c r="H75" s="5">
        <f>IFERROR(VLOOKUP(B75,[1]Sheet1!A:E,4,0),0)</f>
        <v>74</v>
      </c>
      <c r="I75" s="5">
        <f t="shared" si="2"/>
        <v>74</v>
      </c>
      <c r="J75" s="5">
        <v>3787</v>
      </c>
      <c r="K75" s="6">
        <f t="shared" si="3"/>
        <v>0.23448640084499606</v>
      </c>
    </row>
    <row r="76" spans="1:11" ht="14.5" x14ac:dyDescent="0.25">
      <c r="A76" s="4">
        <v>81</v>
      </c>
      <c r="B76" s="5" t="s">
        <v>252</v>
      </c>
      <c r="C76" s="5" t="s">
        <v>1</v>
      </c>
      <c r="D76" s="5" t="s">
        <v>253</v>
      </c>
      <c r="E76" s="5" t="s">
        <v>250</v>
      </c>
      <c r="F76" s="5">
        <f>IFERROR(VLOOKUP(B76,[1]Sheet1!A:B,2,0),0)</f>
        <v>0</v>
      </c>
      <c r="G76" s="5">
        <f>IFERROR(VLOOKUP(B76,[1]Sheet1!A:E,5,0),0)</f>
        <v>0</v>
      </c>
      <c r="H76" s="5">
        <f>IFERROR(VLOOKUP(B76,[1]Sheet1!A:E,4,0),0)</f>
        <v>92</v>
      </c>
      <c r="I76" s="5">
        <f t="shared" si="2"/>
        <v>92</v>
      </c>
      <c r="J76" s="5">
        <v>2908</v>
      </c>
      <c r="K76" s="6">
        <f t="shared" si="3"/>
        <v>0.37964236588720768</v>
      </c>
    </row>
    <row r="77" spans="1:11" ht="14.5" x14ac:dyDescent="0.25">
      <c r="A77" s="4">
        <v>82</v>
      </c>
      <c r="B77" s="5" t="s">
        <v>98</v>
      </c>
      <c r="C77" s="5" t="s">
        <v>1</v>
      </c>
      <c r="D77" s="5" t="s">
        <v>254</v>
      </c>
      <c r="E77" s="5" t="s">
        <v>250</v>
      </c>
      <c r="F77" s="5">
        <f>IFERROR(VLOOKUP(B77,[1]Sheet1!A:B,2,0),0)</f>
        <v>0</v>
      </c>
      <c r="G77" s="5">
        <f>IFERROR(VLOOKUP(B77,[1]Sheet1!A:E,5,0),0)</f>
        <v>0</v>
      </c>
      <c r="H77" s="5">
        <f>IFERROR(VLOOKUP(B77,[1]Sheet1!A:E,4,0),0)</f>
        <v>57</v>
      </c>
      <c r="I77" s="5">
        <f t="shared" si="2"/>
        <v>57</v>
      </c>
      <c r="J77" s="5">
        <v>934</v>
      </c>
      <c r="K77" s="6">
        <f t="shared" si="3"/>
        <v>0.7323340471092078</v>
      </c>
    </row>
    <row r="78" spans="1:11" ht="14.5" x14ac:dyDescent="0.25">
      <c r="A78" s="4">
        <v>83</v>
      </c>
      <c r="B78" s="5" t="s">
        <v>59</v>
      </c>
      <c r="C78" s="5" t="s">
        <v>1</v>
      </c>
      <c r="D78" s="5" t="s">
        <v>255</v>
      </c>
      <c r="E78" s="5" t="s">
        <v>250</v>
      </c>
      <c r="F78" s="5">
        <f>IFERROR(VLOOKUP(B78,[1]Sheet1!A:B,2,0),0)</f>
        <v>0</v>
      </c>
      <c r="G78" s="5">
        <f>IFERROR(VLOOKUP(B78,[1]Sheet1!A:E,5,0),0)</f>
        <v>0</v>
      </c>
      <c r="H78" s="5">
        <f>IFERROR(VLOOKUP(B78,[1]Sheet1!A:E,4,0),0)</f>
        <v>24</v>
      </c>
      <c r="I78" s="5">
        <f t="shared" si="2"/>
        <v>24</v>
      </c>
      <c r="J78" s="5">
        <v>2303</v>
      </c>
      <c r="K78" s="6">
        <f t="shared" si="3"/>
        <v>0.12505427702996091</v>
      </c>
    </row>
    <row r="79" spans="1:11" ht="14.5" x14ac:dyDescent="0.25">
      <c r="A79" s="4">
        <v>84</v>
      </c>
      <c r="B79" s="5" t="s">
        <v>121</v>
      </c>
      <c r="C79" s="5" t="s">
        <v>1</v>
      </c>
      <c r="D79" s="5" t="s">
        <v>256</v>
      </c>
      <c r="E79" s="5" t="s">
        <v>250</v>
      </c>
      <c r="F79" s="5">
        <f>IFERROR(VLOOKUP(B79,[1]Sheet1!A:B,2,0),0)</f>
        <v>0</v>
      </c>
      <c r="G79" s="5">
        <f>IFERROR(VLOOKUP(B79,[1]Sheet1!A:E,5,0),0)</f>
        <v>0</v>
      </c>
      <c r="H79" s="5">
        <f>IFERROR(VLOOKUP(B79,[1]Sheet1!A:E,4,0),0)</f>
        <v>177</v>
      </c>
      <c r="I79" s="5">
        <f t="shared" si="2"/>
        <v>177</v>
      </c>
      <c r="J79" s="5">
        <v>3950</v>
      </c>
      <c r="K79" s="6">
        <f t="shared" si="3"/>
        <v>0.53772151898734177</v>
      </c>
    </row>
    <row r="80" spans="1:11" ht="14.5" x14ac:dyDescent="0.25">
      <c r="A80" s="4">
        <v>85</v>
      </c>
      <c r="B80" s="5" t="s">
        <v>85</v>
      </c>
      <c r="C80" s="5" t="s">
        <v>1</v>
      </c>
      <c r="D80" s="5" t="s">
        <v>257</v>
      </c>
      <c r="E80" s="5" t="s">
        <v>250</v>
      </c>
      <c r="F80" s="5">
        <f>IFERROR(VLOOKUP(B80,[1]Sheet1!A:B,2,0),0)</f>
        <v>0</v>
      </c>
      <c r="G80" s="5">
        <f>IFERROR(VLOOKUP(B80,[1]Sheet1!A:E,5,0),0)</f>
        <v>0</v>
      </c>
      <c r="H80" s="5">
        <f>IFERROR(VLOOKUP(B80,[1]Sheet1!A:E,4,0),0)</f>
        <v>37</v>
      </c>
      <c r="I80" s="5">
        <f t="shared" si="2"/>
        <v>37</v>
      </c>
      <c r="J80" s="5">
        <v>1382</v>
      </c>
      <c r="K80" s="6">
        <f t="shared" si="3"/>
        <v>0.321273516642547</v>
      </c>
    </row>
    <row r="81" spans="1:11" ht="14.5" x14ac:dyDescent="0.25">
      <c r="A81" s="4">
        <v>86</v>
      </c>
      <c r="B81" s="5" t="s">
        <v>372</v>
      </c>
      <c r="C81" s="5" t="s">
        <v>373</v>
      </c>
      <c r="D81" s="5" t="s">
        <v>374</v>
      </c>
      <c r="E81" s="5" t="s">
        <v>375</v>
      </c>
      <c r="F81" s="5">
        <f>IFERROR(VLOOKUP(B81,[1]Sheet1!A:B,2,0),0)</f>
        <v>0</v>
      </c>
      <c r="G81" s="5">
        <f>IFERROR(VLOOKUP(B81,[1]Sheet1!A:E,5,0),0)</f>
        <v>0</v>
      </c>
      <c r="H81" s="5">
        <f>IFERROR(VLOOKUP(B81,[1]Sheet1!A:E,4,0),0)</f>
        <v>2</v>
      </c>
      <c r="I81" s="5">
        <f>G81+H81</f>
        <v>2</v>
      </c>
      <c r="J81" s="5">
        <v>160</v>
      </c>
      <c r="K81" s="6">
        <f>I81/(J81/12)</f>
        <v>0.15</v>
      </c>
    </row>
    <row r="82" spans="1:11" ht="14.5" x14ac:dyDescent="0.25">
      <c r="A82" s="4">
        <v>87</v>
      </c>
      <c r="B82" s="5" t="s">
        <v>100</v>
      </c>
      <c r="C82" s="5" t="s">
        <v>4</v>
      </c>
      <c r="D82" s="5" t="s">
        <v>275</v>
      </c>
      <c r="E82" s="5" t="s">
        <v>283</v>
      </c>
      <c r="F82" s="5">
        <f>IFERROR(VLOOKUP(B82,[1]Sheet1!A:B,2,0),0)</f>
        <v>0</v>
      </c>
      <c r="G82" s="5">
        <f>IFERROR(VLOOKUP(B82,[1]Sheet1!A:E,5,0),0)</f>
        <v>0</v>
      </c>
      <c r="H82" s="5">
        <f>IFERROR(VLOOKUP(B82,[1]Sheet1!A:E,4,0),0)</f>
        <v>17</v>
      </c>
      <c r="I82" s="5">
        <f t="shared" si="2"/>
        <v>17</v>
      </c>
      <c r="J82" s="5">
        <v>2082</v>
      </c>
      <c r="K82" s="6">
        <f t="shared" si="3"/>
        <v>9.7982708933717577E-2</v>
      </c>
    </row>
    <row r="83" spans="1:11" ht="14.5" x14ac:dyDescent="0.25">
      <c r="A83" s="4">
        <v>89</v>
      </c>
      <c r="B83" s="5" t="s">
        <v>22</v>
      </c>
      <c r="C83" s="5" t="s">
        <v>4</v>
      </c>
      <c r="D83" s="5" t="s">
        <v>376</v>
      </c>
      <c r="E83" s="5" t="s">
        <v>377</v>
      </c>
      <c r="F83" s="5">
        <f>IFERROR(VLOOKUP(B83,[1]Sheet1!A:B,2,0),0)</f>
        <v>0</v>
      </c>
      <c r="G83" s="5">
        <f>IFERROR(VLOOKUP(B83,[1]Sheet1!A:E,5,0),0)</f>
        <v>14</v>
      </c>
      <c r="H83" s="5">
        <f>IFERROR(VLOOKUP(B83,[1]Sheet1!A:E,4,0),0)</f>
        <v>92</v>
      </c>
      <c r="I83" s="5">
        <f t="shared" si="2"/>
        <v>106</v>
      </c>
      <c r="J83" s="5">
        <v>2724</v>
      </c>
      <c r="K83" s="6">
        <f t="shared" si="3"/>
        <v>0.46696035242290751</v>
      </c>
    </row>
    <row r="84" spans="1:11" ht="14.5" x14ac:dyDescent="0.25">
      <c r="A84" s="4">
        <v>90</v>
      </c>
      <c r="B84" s="5" t="s">
        <v>78</v>
      </c>
      <c r="C84" s="5" t="s">
        <v>4</v>
      </c>
      <c r="D84" s="5" t="s">
        <v>282</v>
      </c>
      <c r="E84" s="5" t="s">
        <v>283</v>
      </c>
      <c r="F84" s="5">
        <f>IFERROR(VLOOKUP(B84,[1]Sheet1!A:B,2,0),0)</f>
        <v>0</v>
      </c>
      <c r="G84" s="5">
        <f>IFERROR(VLOOKUP(B84,[1]Sheet1!A:E,5,0),0)</f>
        <v>8</v>
      </c>
      <c r="H84" s="5">
        <f>IFERROR(VLOOKUP(B84,[1]Sheet1!A:E,4,0),0)</f>
        <v>126</v>
      </c>
      <c r="I84" s="5">
        <f t="shared" si="2"/>
        <v>134</v>
      </c>
      <c r="J84" s="5">
        <v>5068</v>
      </c>
      <c r="K84" s="6">
        <f t="shared" si="3"/>
        <v>0.31728492501973166</v>
      </c>
    </row>
    <row r="85" spans="1:11" ht="14.5" x14ac:dyDescent="0.25">
      <c r="A85" s="4">
        <v>91</v>
      </c>
      <c r="B85" s="5" t="s">
        <v>284</v>
      </c>
      <c r="C85" s="5" t="s">
        <v>4</v>
      </c>
      <c r="D85" s="5" t="s">
        <v>285</v>
      </c>
      <c r="E85" s="5" t="s">
        <v>283</v>
      </c>
      <c r="F85" s="5">
        <f>IFERROR(VLOOKUP(B85,[1]Sheet1!A:B,2,0),0)</f>
        <v>0</v>
      </c>
      <c r="G85" s="5">
        <f>IFERROR(VLOOKUP(B85,[1]Sheet1!A:E,5,0),0)</f>
        <v>0</v>
      </c>
      <c r="H85" s="5">
        <f>IFERROR(VLOOKUP(B85,[1]Sheet1!A:E,4,0),0)</f>
        <v>27</v>
      </c>
      <c r="I85" s="5">
        <f t="shared" si="2"/>
        <v>27</v>
      </c>
      <c r="J85" s="5">
        <v>865</v>
      </c>
      <c r="K85" s="6">
        <f t="shared" si="3"/>
        <v>0.37456647398843934</v>
      </c>
    </row>
    <row r="86" spans="1:11" ht="14.5" x14ac:dyDescent="0.25">
      <c r="A86" s="4">
        <v>92</v>
      </c>
      <c r="B86" s="5" t="s">
        <v>21</v>
      </c>
      <c r="C86" s="5" t="s">
        <v>4</v>
      </c>
      <c r="D86" s="5" t="s">
        <v>258</v>
      </c>
      <c r="E86" s="5" t="s">
        <v>283</v>
      </c>
      <c r="F86" s="5">
        <f>IFERROR(VLOOKUP(B86,[1]Sheet1!A:B,2,0),0)</f>
        <v>0</v>
      </c>
      <c r="G86" s="5">
        <f>IFERROR(VLOOKUP(B86,[1]Sheet1!A:E,5,0),0)</f>
        <v>0</v>
      </c>
      <c r="H86" s="5">
        <f>IFERROR(VLOOKUP(B86,[1]Sheet1!A:E,4,0),0)</f>
        <v>196</v>
      </c>
      <c r="I86" s="5">
        <f t="shared" si="2"/>
        <v>196</v>
      </c>
      <c r="J86" s="5">
        <v>3806</v>
      </c>
      <c r="K86" s="6">
        <f t="shared" si="3"/>
        <v>0.61797162375197057</v>
      </c>
    </row>
    <row r="87" spans="1:11" ht="14.5" x14ac:dyDescent="0.25">
      <c r="A87" s="4">
        <v>93</v>
      </c>
      <c r="B87" s="5" t="s">
        <v>31</v>
      </c>
      <c r="C87" s="5" t="s">
        <v>4</v>
      </c>
      <c r="D87" s="5" t="s">
        <v>259</v>
      </c>
      <c r="E87" s="5" t="s">
        <v>283</v>
      </c>
      <c r="F87" s="5">
        <f>IFERROR(VLOOKUP(B87,[1]Sheet1!A:B,2,0),0)</f>
        <v>0</v>
      </c>
      <c r="G87" s="5">
        <f>IFERROR(VLOOKUP(B87,[1]Sheet1!A:E,5,0),0)</f>
        <v>0</v>
      </c>
      <c r="H87" s="5">
        <f>IFERROR(VLOOKUP(B87,[1]Sheet1!A:E,4,0),0)</f>
        <v>87</v>
      </c>
      <c r="I87" s="5">
        <f t="shared" si="2"/>
        <v>87</v>
      </c>
      <c r="J87" s="5">
        <v>1529</v>
      </c>
      <c r="K87" s="6">
        <f t="shared" si="3"/>
        <v>0.68279921517331588</v>
      </c>
    </row>
    <row r="88" spans="1:11" ht="14.5" x14ac:dyDescent="0.25">
      <c r="A88" s="4">
        <v>94</v>
      </c>
      <c r="B88" s="5" t="s">
        <v>260</v>
      </c>
      <c r="C88" s="5" t="s">
        <v>4</v>
      </c>
      <c r="D88" s="5" t="s">
        <v>261</v>
      </c>
      <c r="E88" s="5" t="s">
        <v>283</v>
      </c>
      <c r="F88" s="5">
        <f>IFERROR(VLOOKUP(B88,[1]Sheet1!A:B,2,0),0)</f>
        <v>0</v>
      </c>
      <c r="G88" s="5">
        <f>IFERROR(VLOOKUP(B88,[1]Sheet1!A:E,5,0),0)</f>
        <v>0</v>
      </c>
      <c r="H88" s="5">
        <f>IFERROR(VLOOKUP(B88,[1]Sheet1!A:E,4,0),0)</f>
        <v>9</v>
      </c>
      <c r="I88" s="5">
        <f t="shared" si="2"/>
        <v>9</v>
      </c>
      <c r="J88" s="5">
        <v>1414</v>
      </c>
      <c r="K88" s="6">
        <f t="shared" si="3"/>
        <v>7.6379066478076379E-2</v>
      </c>
    </row>
    <row r="89" spans="1:11" ht="14.5" x14ac:dyDescent="0.25">
      <c r="A89" s="4">
        <v>95</v>
      </c>
      <c r="B89" s="5" t="s">
        <v>2</v>
      </c>
      <c r="C89" s="5" t="s">
        <v>4</v>
      </c>
      <c r="D89" s="5" t="s">
        <v>262</v>
      </c>
      <c r="E89" s="5" t="s">
        <v>283</v>
      </c>
      <c r="F89" s="5">
        <f>IFERROR(VLOOKUP(B89,[1]Sheet1!A:B,2,0),0)</f>
        <v>0</v>
      </c>
      <c r="G89" s="5">
        <f>IFERROR(VLOOKUP(B89,[1]Sheet1!A:E,5,0),0)</f>
        <v>2</v>
      </c>
      <c r="H89" s="5">
        <f>IFERROR(VLOOKUP(B89,[1]Sheet1!A:E,4,0),0)</f>
        <v>88</v>
      </c>
      <c r="I89" s="5">
        <f t="shared" si="2"/>
        <v>90</v>
      </c>
      <c r="J89" s="5">
        <v>4952</v>
      </c>
      <c r="K89" s="6">
        <f t="shared" si="3"/>
        <v>0.21809369951534732</v>
      </c>
    </row>
    <row r="90" spans="1:11" ht="14.5" x14ac:dyDescent="0.25">
      <c r="A90" s="4">
        <v>96</v>
      </c>
      <c r="B90" s="5" t="s">
        <v>131</v>
      </c>
      <c r="C90" s="5" t="s">
        <v>4</v>
      </c>
      <c r="D90" s="5" t="s">
        <v>263</v>
      </c>
      <c r="E90" s="5" t="s">
        <v>283</v>
      </c>
      <c r="F90" s="5">
        <f>IFERROR(VLOOKUP(B90,[1]Sheet1!A:B,2,0),0)</f>
        <v>0</v>
      </c>
      <c r="G90" s="5">
        <f>IFERROR(VLOOKUP(B90,[1]Sheet1!A:E,5,0),0)</f>
        <v>0</v>
      </c>
      <c r="H90" s="5">
        <f>IFERROR(VLOOKUP(B90,[1]Sheet1!A:E,4,0),0)</f>
        <v>39</v>
      </c>
      <c r="I90" s="5">
        <f t="shared" si="2"/>
        <v>39</v>
      </c>
      <c r="J90" s="5">
        <v>1570</v>
      </c>
      <c r="K90" s="6">
        <f t="shared" si="3"/>
        <v>0.29808917197452228</v>
      </c>
    </row>
    <row r="91" spans="1:11" ht="14.5" x14ac:dyDescent="0.25">
      <c r="A91" s="4">
        <v>97</v>
      </c>
      <c r="B91" s="5" t="s">
        <v>70</v>
      </c>
      <c r="C91" s="5" t="s">
        <v>4</v>
      </c>
      <c r="D91" s="5" t="s">
        <v>264</v>
      </c>
      <c r="E91" s="5" t="s">
        <v>283</v>
      </c>
      <c r="F91" s="5">
        <f>IFERROR(VLOOKUP(B91,[1]Sheet1!A:B,2,0),0)</f>
        <v>0</v>
      </c>
      <c r="G91" s="5">
        <f>IFERROR(VLOOKUP(B91,[1]Sheet1!A:E,5,0),0)</f>
        <v>0</v>
      </c>
      <c r="H91" s="5">
        <f>IFERROR(VLOOKUP(B91,[1]Sheet1!A:E,4,0),0)</f>
        <v>24</v>
      </c>
      <c r="I91" s="5">
        <f t="shared" si="2"/>
        <v>24</v>
      </c>
      <c r="J91" s="5">
        <v>1018</v>
      </c>
      <c r="K91" s="6">
        <f t="shared" si="3"/>
        <v>0.28290766208251478</v>
      </c>
    </row>
    <row r="92" spans="1:11" ht="14.5" x14ac:dyDescent="0.25">
      <c r="A92" s="4">
        <v>98</v>
      </c>
      <c r="B92" s="5" t="s">
        <v>378</v>
      </c>
      <c r="C92" s="5" t="s">
        <v>379</v>
      </c>
      <c r="D92" s="5" t="s">
        <v>380</v>
      </c>
      <c r="E92" s="5" t="s">
        <v>381</v>
      </c>
      <c r="F92" s="5">
        <f>IFERROR(VLOOKUP(B92,[1]Sheet1!A:B,2,0),0)</f>
        <v>0</v>
      </c>
      <c r="G92" s="5">
        <f>IFERROR(VLOOKUP(B92,[1]Sheet1!A:E,5,0),0)</f>
        <v>0</v>
      </c>
      <c r="H92" s="5">
        <f>IFERROR(VLOOKUP(B92,[1]Sheet1!A:E,4,0),0)</f>
        <v>42</v>
      </c>
      <c r="I92" s="5">
        <f t="shared" si="2"/>
        <v>42</v>
      </c>
      <c r="J92" s="5">
        <v>1377</v>
      </c>
      <c r="K92" s="6">
        <f t="shared" si="3"/>
        <v>0.36601307189542481</v>
      </c>
    </row>
    <row r="93" spans="1:11" ht="14.5" x14ac:dyDescent="0.25">
      <c r="A93" s="4">
        <v>99</v>
      </c>
      <c r="B93" s="5" t="s">
        <v>382</v>
      </c>
      <c r="C93" s="5" t="s">
        <v>379</v>
      </c>
      <c r="D93" s="5" t="s">
        <v>383</v>
      </c>
      <c r="E93" s="5" t="s">
        <v>381</v>
      </c>
      <c r="F93" s="5">
        <f>IFERROR(VLOOKUP(B93,[1]Sheet1!A:B,2,0),0)</f>
        <v>0</v>
      </c>
      <c r="G93" s="5">
        <f>IFERROR(VLOOKUP(B93,[1]Sheet1!A:E,5,0),0)</f>
        <v>0</v>
      </c>
      <c r="H93" s="5">
        <f>IFERROR(VLOOKUP(B93,[1]Sheet1!A:E,4,0),0)</f>
        <v>0</v>
      </c>
      <c r="I93" s="5">
        <f t="shared" si="2"/>
        <v>0</v>
      </c>
      <c r="J93" s="5">
        <v>44</v>
      </c>
      <c r="K93" s="6">
        <f t="shared" si="3"/>
        <v>0</v>
      </c>
    </row>
    <row r="94" spans="1:11" ht="14.5" x14ac:dyDescent="0.25">
      <c r="A94" s="4">
        <v>100</v>
      </c>
      <c r="B94" s="5" t="s">
        <v>133</v>
      </c>
      <c r="C94" s="5" t="s">
        <v>4</v>
      </c>
      <c r="D94" s="5" t="s">
        <v>276</v>
      </c>
      <c r="E94" s="5" t="s">
        <v>352</v>
      </c>
      <c r="F94" s="5">
        <f>IFERROR(VLOOKUP(B94,[1]Sheet1!A:B,2,0),0)</f>
        <v>0</v>
      </c>
      <c r="G94" s="5">
        <f>IFERROR(VLOOKUP(B94,[1]Sheet1!A:E,5,0),0)</f>
        <v>0</v>
      </c>
      <c r="H94" s="5">
        <f>IFERROR(VLOOKUP(B94,[1]Sheet1!A:E,4,0),0)</f>
        <v>25</v>
      </c>
      <c r="I94" s="5">
        <f t="shared" si="2"/>
        <v>25</v>
      </c>
      <c r="J94" s="5">
        <v>1497</v>
      </c>
      <c r="K94" s="6">
        <f t="shared" si="3"/>
        <v>0.20040080160320642</v>
      </c>
    </row>
    <row r="95" spans="1:11" ht="14.5" x14ac:dyDescent="0.25">
      <c r="A95" s="4">
        <v>101</v>
      </c>
      <c r="B95" s="5" t="s">
        <v>138</v>
      </c>
      <c r="C95" s="5" t="s">
        <v>4</v>
      </c>
      <c r="D95" s="5" t="s">
        <v>277</v>
      </c>
      <c r="E95" s="5" t="s">
        <v>352</v>
      </c>
      <c r="F95" s="5">
        <f>IFERROR(VLOOKUP(B95,[1]Sheet1!A:B,2,0),0)</f>
        <v>0</v>
      </c>
      <c r="G95" s="5">
        <f>IFERROR(VLOOKUP(B95,[1]Sheet1!A:E,5,0),0)</f>
        <v>0</v>
      </c>
      <c r="H95" s="5">
        <f>IFERROR(VLOOKUP(B95,[1]Sheet1!A:E,4,0),0)</f>
        <v>201</v>
      </c>
      <c r="I95" s="5">
        <f t="shared" si="2"/>
        <v>201</v>
      </c>
      <c r="J95" s="5">
        <v>5303</v>
      </c>
      <c r="K95" s="6">
        <f t="shared" si="3"/>
        <v>0.45483688478219875</v>
      </c>
    </row>
    <row r="96" spans="1:11" ht="14.5" x14ac:dyDescent="0.25">
      <c r="A96" s="4">
        <v>102</v>
      </c>
      <c r="B96" s="5" t="s">
        <v>125</v>
      </c>
      <c r="C96" s="5" t="s">
        <v>4</v>
      </c>
      <c r="D96" s="5" t="s">
        <v>278</v>
      </c>
      <c r="E96" s="5" t="s">
        <v>352</v>
      </c>
      <c r="F96" s="5">
        <f>IFERROR(VLOOKUP(B96,[1]Sheet1!A:B,2,0),0)</f>
        <v>0</v>
      </c>
      <c r="G96" s="5">
        <f>IFERROR(VLOOKUP(B96,[1]Sheet1!A:E,5,0),0)</f>
        <v>0</v>
      </c>
      <c r="H96" s="5">
        <f>IFERROR(VLOOKUP(B96,[1]Sheet1!A:E,4,0),0)</f>
        <v>0</v>
      </c>
      <c r="I96" s="5">
        <f t="shared" si="2"/>
        <v>0</v>
      </c>
      <c r="J96" s="5">
        <v>1536</v>
      </c>
      <c r="K96" s="6">
        <f t="shared" si="3"/>
        <v>0</v>
      </c>
    </row>
    <row r="97" spans="1:11" ht="14.5" x14ac:dyDescent="0.25">
      <c r="A97" s="4">
        <v>103</v>
      </c>
      <c r="B97" s="5" t="s">
        <v>279</v>
      </c>
      <c r="C97" s="5" t="s">
        <v>4</v>
      </c>
      <c r="D97" s="5" t="s">
        <v>384</v>
      </c>
      <c r="E97" s="5" t="s">
        <v>352</v>
      </c>
      <c r="F97" s="5">
        <f>IFERROR(VLOOKUP(B97,[1]Sheet1!A:B,2,0),0)</f>
        <v>0</v>
      </c>
      <c r="G97" s="5">
        <f>IFERROR(VLOOKUP(B97,[1]Sheet1!A:E,5,0),0)</f>
        <v>0</v>
      </c>
      <c r="H97" s="5">
        <f>IFERROR(VLOOKUP(B97,[1]Sheet1!A:E,4,0),0)</f>
        <v>62</v>
      </c>
      <c r="I97" s="5">
        <f t="shared" si="2"/>
        <v>62</v>
      </c>
      <c r="J97" s="5">
        <v>1587</v>
      </c>
      <c r="K97" s="6">
        <f t="shared" si="3"/>
        <v>0.46880907372400754</v>
      </c>
    </row>
    <row r="98" spans="1:11" ht="14.5" x14ac:dyDescent="0.25">
      <c r="A98" s="4">
        <v>104</v>
      </c>
      <c r="B98" s="5" t="s">
        <v>280</v>
      </c>
      <c r="C98" s="5" t="s">
        <v>4</v>
      </c>
      <c r="D98" s="5" t="s">
        <v>281</v>
      </c>
      <c r="E98" s="5" t="s">
        <v>352</v>
      </c>
      <c r="F98" s="5">
        <f>IFERROR(VLOOKUP(B98,[1]Sheet1!A:B,2,0),0)</f>
        <v>0</v>
      </c>
      <c r="G98" s="5">
        <f>IFERROR(VLOOKUP(B98,[1]Sheet1!A:E,5,0),0)</f>
        <v>0</v>
      </c>
      <c r="H98" s="5">
        <f>IFERROR(VLOOKUP(B98,[1]Sheet1!A:E,4,0),0)</f>
        <v>27</v>
      </c>
      <c r="I98" s="5">
        <f t="shared" si="2"/>
        <v>27</v>
      </c>
      <c r="J98" s="5">
        <v>1207</v>
      </c>
      <c r="K98" s="6">
        <f t="shared" si="3"/>
        <v>0.26843413421706713</v>
      </c>
    </row>
    <row r="99" spans="1:11" ht="14.5" x14ac:dyDescent="0.25">
      <c r="A99" s="4">
        <v>105</v>
      </c>
      <c r="B99" s="5" t="s">
        <v>132</v>
      </c>
      <c r="C99" s="5" t="s">
        <v>4</v>
      </c>
      <c r="D99" s="5" t="s">
        <v>286</v>
      </c>
      <c r="E99" s="5" t="s">
        <v>352</v>
      </c>
      <c r="F99" s="5">
        <f>IFERROR(VLOOKUP(B99,[1]Sheet1!A:B,2,0),0)</f>
        <v>0</v>
      </c>
      <c r="G99" s="5">
        <f>IFERROR(VLOOKUP(B99,[1]Sheet1!A:E,5,0),0)</f>
        <v>0</v>
      </c>
      <c r="H99" s="5">
        <f>IFERROR(VLOOKUP(B99,[1]Sheet1!A:E,4,0),0)</f>
        <v>91</v>
      </c>
      <c r="I99" s="5">
        <f t="shared" si="2"/>
        <v>91</v>
      </c>
      <c r="J99" s="5">
        <v>3080</v>
      </c>
      <c r="K99" s="6">
        <f t="shared" si="3"/>
        <v>0.3545454545454545</v>
      </c>
    </row>
    <row r="100" spans="1:11" ht="14.5" x14ac:dyDescent="0.25">
      <c r="A100" s="4">
        <v>106</v>
      </c>
      <c r="B100" s="5" t="s">
        <v>287</v>
      </c>
      <c r="C100" s="5" t="s">
        <v>4</v>
      </c>
      <c r="D100" s="5" t="s">
        <v>288</v>
      </c>
      <c r="E100" s="5" t="s">
        <v>352</v>
      </c>
      <c r="F100" s="5">
        <f>IFERROR(VLOOKUP(B100,[1]Sheet1!A:B,2,0),0)</f>
        <v>0</v>
      </c>
      <c r="G100" s="5">
        <f>IFERROR(VLOOKUP(B100,[1]Sheet1!A:E,5,0),0)</f>
        <v>0</v>
      </c>
      <c r="H100" s="5">
        <f>IFERROR(VLOOKUP(B100,[1]Sheet1!A:E,4,0),0)</f>
        <v>50</v>
      </c>
      <c r="I100" s="5">
        <f t="shared" si="2"/>
        <v>50</v>
      </c>
      <c r="J100" s="5">
        <v>1866</v>
      </c>
      <c r="K100" s="6">
        <f t="shared" si="3"/>
        <v>0.32154340836012862</v>
      </c>
    </row>
    <row r="101" spans="1:11" ht="14.5" x14ac:dyDescent="0.25">
      <c r="A101" s="4">
        <v>107</v>
      </c>
      <c r="B101" s="5" t="s">
        <v>289</v>
      </c>
      <c r="C101" s="5" t="s">
        <v>4</v>
      </c>
      <c r="D101" s="5" t="s">
        <v>290</v>
      </c>
      <c r="E101" s="5" t="s">
        <v>352</v>
      </c>
      <c r="F101" s="5">
        <f>IFERROR(VLOOKUP(B101,[1]Sheet1!A:B,2,0),0)</f>
        <v>0</v>
      </c>
      <c r="G101" s="5">
        <f>IFERROR(VLOOKUP(B101,[1]Sheet1!A:E,5,0),0)</f>
        <v>0</v>
      </c>
      <c r="H101" s="5">
        <f>IFERROR(VLOOKUP(B101,[1]Sheet1!A:E,4,0),0)</f>
        <v>50</v>
      </c>
      <c r="I101" s="5">
        <f t="shared" si="2"/>
        <v>50</v>
      </c>
      <c r="J101" s="5">
        <v>3316</v>
      </c>
      <c r="K101" s="6">
        <f t="shared" si="3"/>
        <v>0.18094089264173704</v>
      </c>
    </row>
    <row r="102" spans="1:11" ht="14.5" x14ac:dyDescent="0.25">
      <c r="A102" s="4">
        <v>108</v>
      </c>
      <c r="B102" s="5" t="s">
        <v>291</v>
      </c>
      <c r="C102" s="5" t="s">
        <v>4</v>
      </c>
      <c r="D102" s="5" t="s">
        <v>292</v>
      </c>
      <c r="E102" s="5" t="s">
        <v>352</v>
      </c>
      <c r="F102" s="5">
        <f>IFERROR(VLOOKUP(B102,[1]Sheet1!A:B,2,0),0)</f>
        <v>0</v>
      </c>
      <c r="G102" s="5">
        <f>IFERROR(VLOOKUP(B102,[1]Sheet1!A:E,5,0),0)</f>
        <v>0</v>
      </c>
      <c r="H102" s="5">
        <f>IFERROR(VLOOKUP(B102,[1]Sheet1!A:E,4,0),0)</f>
        <v>116</v>
      </c>
      <c r="I102" s="5">
        <f t="shared" si="2"/>
        <v>116</v>
      </c>
      <c r="J102" s="5">
        <v>3363</v>
      </c>
      <c r="K102" s="6">
        <f t="shared" si="3"/>
        <v>0.41391614629794826</v>
      </c>
    </row>
    <row r="103" spans="1:11" ht="14.5" x14ac:dyDescent="0.25">
      <c r="A103" s="4">
        <v>109</v>
      </c>
      <c r="B103" s="5" t="s">
        <v>112</v>
      </c>
      <c r="C103" s="5" t="s">
        <v>4</v>
      </c>
      <c r="D103" s="5" t="s">
        <v>293</v>
      </c>
      <c r="E103" s="5" t="s">
        <v>352</v>
      </c>
      <c r="F103" s="5">
        <f>IFERROR(VLOOKUP(B103,[1]Sheet1!A:B,2,0),0)</f>
        <v>0</v>
      </c>
      <c r="G103" s="5">
        <f>IFERROR(VLOOKUP(B103,[1]Sheet1!A:E,5,0),0)</f>
        <v>0</v>
      </c>
      <c r="H103" s="5">
        <f>IFERROR(VLOOKUP(B103,[1]Sheet1!A:E,4,0),0)</f>
        <v>50</v>
      </c>
      <c r="I103" s="5">
        <f>G103+H103</f>
        <v>50</v>
      </c>
      <c r="J103" s="5">
        <v>1154</v>
      </c>
      <c r="K103" s="6">
        <f>I103/(J103/12)</f>
        <v>0.51993067590987863</v>
      </c>
    </row>
    <row r="104" spans="1:11" ht="14.5" x14ac:dyDescent="0.25">
      <c r="A104" s="4">
        <v>110</v>
      </c>
      <c r="B104" s="5" t="s">
        <v>76</v>
      </c>
      <c r="C104" s="5" t="s">
        <v>4</v>
      </c>
      <c r="D104" s="5" t="s">
        <v>294</v>
      </c>
      <c r="E104" s="5" t="s">
        <v>352</v>
      </c>
      <c r="F104" s="5">
        <f>IFERROR(VLOOKUP(B104,[1]Sheet1!A:B,2,0),0)</f>
        <v>0</v>
      </c>
      <c r="G104" s="5">
        <f>IFERROR(VLOOKUP(B104,[1]Sheet1!A:E,5,0),0)</f>
        <v>0</v>
      </c>
      <c r="H104" s="5">
        <f>IFERROR(VLOOKUP(B104,[1]Sheet1!A:E,4,0),0)</f>
        <v>70</v>
      </c>
      <c r="I104" s="5">
        <f>G104+H104</f>
        <v>70</v>
      </c>
      <c r="J104" s="5">
        <v>1617</v>
      </c>
      <c r="K104" s="6">
        <f>I104/(J104/12)</f>
        <v>0.51948051948051943</v>
      </c>
    </row>
    <row r="105" spans="1:11" ht="14.5" x14ac:dyDescent="0.25">
      <c r="A105" s="4">
        <v>111</v>
      </c>
      <c r="B105" s="5" t="s">
        <v>315</v>
      </c>
      <c r="C105" s="5" t="s">
        <v>385</v>
      </c>
      <c r="D105" s="5" t="s">
        <v>316</v>
      </c>
      <c r="E105" s="5" t="s">
        <v>317</v>
      </c>
      <c r="F105" s="5">
        <f>IFERROR(VLOOKUP(B105,[1]Sheet1!A:B,2,0),0)</f>
        <v>0</v>
      </c>
      <c r="G105" s="5">
        <f>IFERROR(VLOOKUP(B105,[1]Sheet1!A:E,5,0),0)</f>
        <v>0</v>
      </c>
      <c r="H105" s="5">
        <f>IFERROR(VLOOKUP(B105,[1]Sheet1!A:E,4,0),0)</f>
        <v>101</v>
      </c>
      <c r="I105" s="5">
        <f t="shared" ref="I105:I168" si="4">G105+H105</f>
        <v>101</v>
      </c>
      <c r="J105" s="5">
        <v>2268</v>
      </c>
      <c r="K105" s="6">
        <f t="shared" ref="K105:K168" si="5">I105/(J105/12)</f>
        <v>0.53439153439153442</v>
      </c>
    </row>
    <row r="106" spans="1:11" ht="14.5" x14ac:dyDescent="0.25">
      <c r="A106" s="4">
        <v>112</v>
      </c>
      <c r="B106" s="5" t="s">
        <v>36</v>
      </c>
      <c r="C106" s="5" t="s">
        <v>385</v>
      </c>
      <c r="D106" s="5" t="s">
        <v>386</v>
      </c>
      <c r="E106" s="5" t="s">
        <v>317</v>
      </c>
      <c r="F106" s="5">
        <f>IFERROR(VLOOKUP(B106,[1]Sheet1!A:B,2,0),0)</f>
        <v>0</v>
      </c>
      <c r="G106" s="5">
        <f>IFERROR(VLOOKUP(B106,[1]Sheet1!A:E,5,0),0)</f>
        <v>0</v>
      </c>
      <c r="H106" s="5">
        <f>IFERROR(VLOOKUP(B106,[1]Sheet1!A:E,4,0),0)</f>
        <v>65</v>
      </c>
      <c r="I106" s="5">
        <f t="shared" si="4"/>
        <v>65</v>
      </c>
      <c r="J106" s="5">
        <v>1662</v>
      </c>
      <c r="K106" s="6">
        <f t="shared" si="5"/>
        <v>0.46931407942238268</v>
      </c>
    </row>
    <row r="107" spans="1:11" ht="14.5" x14ac:dyDescent="0.25">
      <c r="A107" s="4">
        <v>113</v>
      </c>
      <c r="B107" s="5" t="s">
        <v>318</v>
      </c>
      <c r="C107" s="5" t="s">
        <v>385</v>
      </c>
      <c r="D107" s="5" t="s">
        <v>319</v>
      </c>
      <c r="E107" s="5" t="s">
        <v>317</v>
      </c>
      <c r="F107" s="5">
        <f>IFERROR(VLOOKUP(B107,[1]Sheet1!A:B,2,0),0)</f>
        <v>0</v>
      </c>
      <c r="G107" s="5">
        <f>IFERROR(VLOOKUP(B107,[1]Sheet1!A:E,5,0),0)</f>
        <v>0</v>
      </c>
      <c r="H107" s="5">
        <f>IFERROR(VLOOKUP(B107,[1]Sheet1!A:E,4,0),0)</f>
        <v>104</v>
      </c>
      <c r="I107" s="5">
        <f t="shared" si="4"/>
        <v>104</v>
      </c>
      <c r="J107" s="5">
        <v>2600</v>
      </c>
      <c r="K107" s="6">
        <f t="shared" si="5"/>
        <v>0.48000000000000004</v>
      </c>
    </row>
    <row r="108" spans="1:11" ht="14.5" x14ac:dyDescent="0.25">
      <c r="A108" s="4">
        <v>114</v>
      </c>
      <c r="B108" s="5" t="s">
        <v>60</v>
      </c>
      <c r="C108" s="5" t="s">
        <v>385</v>
      </c>
      <c r="D108" s="5" t="s">
        <v>320</v>
      </c>
      <c r="E108" s="5" t="s">
        <v>317</v>
      </c>
      <c r="F108" s="5">
        <f>IFERROR(VLOOKUP(B108,[1]Sheet1!A:B,2,0),0)</f>
        <v>0</v>
      </c>
      <c r="G108" s="5">
        <f>IFERROR(VLOOKUP(B108,[1]Sheet1!A:E,5,0),0)</f>
        <v>0</v>
      </c>
      <c r="H108" s="5">
        <f>IFERROR(VLOOKUP(B108,[1]Sheet1!A:E,4,0),0)</f>
        <v>272</v>
      </c>
      <c r="I108" s="5">
        <f t="shared" si="4"/>
        <v>272</v>
      </c>
      <c r="J108" s="5">
        <v>6824</v>
      </c>
      <c r="K108" s="6">
        <f t="shared" si="5"/>
        <v>0.47831184056271986</v>
      </c>
    </row>
    <row r="109" spans="1:11" ht="14.5" x14ac:dyDescent="0.25">
      <c r="A109" s="4">
        <v>115</v>
      </c>
      <c r="B109" s="5" t="s">
        <v>321</v>
      </c>
      <c r="C109" s="5" t="s">
        <v>385</v>
      </c>
      <c r="D109" s="5" t="s">
        <v>322</v>
      </c>
      <c r="E109" s="5" t="s">
        <v>317</v>
      </c>
      <c r="F109" s="5">
        <f>IFERROR(VLOOKUP(B109,[1]Sheet1!A:B,2,0),0)</f>
        <v>0</v>
      </c>
      <c r="G109" s="5">
        <f>IFERROR(VLOOKUP(B109,[1]Sheet1!A:E,5,0),0)</f>
        <v>0</v>
      </c>
      <c r="H109" s="5">
        <f>IFERROR(VLOOKUP(B109,[1]Sheet1!A:E,4,0),0)</f>
        <v>240</v>
      </c>
      <c r="I109" s="5">
        <f t="shared" si="4"/>
        <v>240</v>
      </c>
      <c r="J109" s="5">
        <v>5618</v>
      </c>
      <c r="K109" s="6">
        <f t="shared" si="5"/>
        <v>0.51263794944820218</v>
      </c>
    </row>
    <row r="110" spans="1:11" ht="14.5" x14ac:dyDescent="0.25">
      <c r="A110" s="4">
        <v>116</v>
      </c>
      <c r="B110" s="5" t="s">
        <v>116</v>
      </c>
      <c r="C110" s="5" t="s">
        <v>385</v>
      </c>
      <c r="D110" s="5" t="s">
        <v>323</v>
      </c>
      <c r="E110" s="5" t="s">
        <v>317</v>
      </c>
      <c r="F110" s="5">
        <f>IFERROR(VLOOKUP(B110,[1]Sheet1!A:B,2,0),0)</f>
        <v>0</v>
      </c>
      <c r="G110" s="5">
        <f>IFERROR(VLOOKUP(B110,[1]Sheet1!A:E,5,0),0)</f>
        <v>0</v>
      </c>
      <c r="H110" s="5">
        <f>IFERROR(VLOOKUP(B110,[1]Sheet1!A:E,4,0),0)</f>
        <v>146</v>
      </c>
      <c r="I110" s="5">
        <f t="shared" si="4"/>
        <v>146</v>
      </c>
      <c r="J110" s="5">
        <v>3663</v>
      </c>
      <c r="K110" s="6">
        <f t="shared" si="5"/>
        <v>0.47829647829647831</v>
      </c>
    </row>
    <row r="111" spans="1:11" ht="14.5" x14ac:dyDescent="0.25">
      <c r="A111" s="4">
        <v>117</v>
      </c>
      <c r="B111" s="5" t="s">
        <v>298</v>
      </c>
      <c r="C111" s="5" t="s">
        <v>385</v>
      </c>
      <c r="D111" s="5" t="s">
        <v>299</v>
      </c>
      <c r="E111" s="5" t="s">
        <v>317</v>
      </c>
      <c r="F111" s="5">
        <f>IFERROR(VLOOKUP(B111,[1]Sheet1!A:B,2,0),0)</f>
        <v>0</v>
      </c>
      <c r="G111" s="5">
        <f>IFERROR(VLOOKUP(B111,[1]Sheet1!A:E,5,0),0)</f>
        <v>0</v>
      </c>
      <c r="H111" s="5">
        <f>IFERROR(VLOOKUP(B111,[1]Sheet1!A:E,4,0),0)</f>
        <v>0</v>
      </c>
      <c r="I111" s="5">
        <f t="shared" si="4"/>
        <v>0</v>
      </c>
      <c r="J111" s="5">
        <v>363</v>
      </c>
      <c r="K111" s="6">
        <f t="shared" si="5"/>
        <v>0</v>
      </c>
    </row>
    <row r="112" spans="1:11" ht="14.5" x14ac:dyDescent="0.25">
      <c r="A112" s="4">
        <v>118</v>
      </c>
      <c r="B112" s="5" t="s">
        <v>300</v>
      </c>
      <c r="C112" s="5" t="s">
        <v>385</v>
      </c>
      <c r="D112" s="5" t="s">
        <v>301</v>
      </c>
      <c r="E112" s="5" t="s">
        <v>317</v>
      </c>
      <c r="F112" s="5">
        <f>IFERROR(VLOOKUP(B112,[1]Sheet1!A:B,2,0),0)</f>
        <v>0</v>
      </c>
      <c r="G112" s="5">
        <f>IFERROR(VLOOKUP(B112,[1]Sheet1!A:E,5,0),0)</f>
        <v>0</v>
      </c>
      <c r="H112" s="5">
        <f>IFERROR(VLOOKUP(B112,[1]Sheet1!A:E,4,0),0)</f>
        <v>14</v>
      </c>
      <c r="I112" s="5">
        <f t="shared" si="4"/>
        <v>14</v>
      </c>
      <c r="J112" s="5">
        <v>518</v>
      </c>
      <c r="K112" s="6">
        <f t="shared" si="5"/>
        <v>0.32432432432432434</v>
      </c>
    </row>
    <row r="113" spans="1:11" ht="14.5" x14ac:dyDescent="0.25">
      <c r="A113" s="4">
        <v>120</v>
      </c>
      <c r="B113" s="5" t="s">
        <v>387</v>
      </c>
      <c r="C113" s="5" t="s">
        <v>385</v>
      </c>
      <c r="D113" s="5" t="s">
        <v>388</v>
      </c>
      <c r="E113" s="5" t="s">
        <v>317</v>
      </c>
      <c r="F113" s="5">
        <f>IFERROR(VLOOKUP(B113,[1]Sheet1!A:B,2,0),0)</f>
        <v>0</v>
      </c>
      <c r="G113" s="5">
        <f>IFERROR(VLOOKUP(B113,[1]Sheet1!A:E,5,0),0)</f>
        <v>0</v>
      </c>
      <c r="H113" s="5">
        <f>IFERROR(VLOOKUP(B113,[1]Sheet1!A:E,4,0),0)</f>
        <v>3</v>
      </c>
      <c r="I113" s="5">
        <f t="shared" si="4"/>
        <v>3</v>
      </c>
      <c r="J113" s="5">
        <v>598</v>
      </c>
      <c r="K113" s="6">
        <f t="shared" si="5"/>
        <v>6.0200668896321065E-2</v>
      </c>
    </row>
    <row r="114" spans="1:11" ht="14.5" x14ac:dyDescent="0.25">
      <c r="A114" s="4">
        <v>121</v>
      </c>
      <c r="B114" s="5" t="s">
        <v>389</v>
      </c>
      <c r="C114" s="5" t="s">
        <v>385</v>
      </c>
      <c r="D114" s="5" t="s">
        <v>390</v>
      </c>
      <c r="E114" s="5" t="s">
        <v>317</v>
      </c>
      <c r="F114" s="5">
        <f>IFERROR(VLOOKUP(B114,[1]Sheet1!A:B,2,0),0)</f>
        <v>0</v>
      </c>
      <c r="G114" s="5">
        <f>IFERROR(VLOOKUP(B114,[1]Sheet1!A:E,5,0),0)</f>
        <v>0</v>
      </c>
      <c r="H114" s="5">
        <f>IFERROR(VLOOKUP(B114,[1]Sheet1!A:E,4,0),0)</f>
        <v>0</v>
      </c>
      <c r="I114" s="5">
        <f t="shared" si="4"/>
        <v>0</v>
      </c>
      <c r="J114" s="5">
        <v>2195</v>
      </c>
      <c r="K114" s="6">
        <f t="shared" si="5"/>
        <v>0</v>
      </c>
    </row>
    <row r="115" spans="1:11" ht="14.5" x14ac:dyDescent="0.25">
      <c r="A115" s="4">
        <v>122</v>
      </c>
      <c r="B115" s="5" t="s">
        <v>44</v>
      </c>
      <c r="C115" s="5" t="s">
        <v>385</v>
      </c>
      <c r="D115" s="5" t="s">
        <v>303</v>
      </c>
      <c r="E115" s="5" t="s">
        <v>295</v>
      </c>
      <c r="F115" s="5">
        <f>IFERROR(VLOOKUP(B115,[1]Sheet1!A:B,2,0),0)</f>
        <v>0</v>
      </c>
      <c r="G115" s="5">
        <f>IFERROR(VLOOKUP(B115,[1]Sheet1!A:E,5,0),0)</f>
        <v>8</v>
      </c>
      <c r="H115" s="5">
        <f>IFERROR(VLOOKUP(B115,[1]Sheet1!A:E,4,0),0)</f>
        <v>85</v>
      </c>
      <c r="I115" s="5">
        <f t="shared" si="4"/>
        <v>93</v>
      </c>
      <c r="J115" s="5">
        <v>1958</v>
      </c>
      <c r="K115" s="6">
        <f t="shared" si="5"/>
        <v>0.5699693564862105</v>
      </c>
    </row>
    <row r="116" spans="1:11" ht="14.5" x14ac:dyDescent="0.25">
      <c r="A116" s="4">
        <v>123</v>
      </c>
      <c r="B116" s="5" t="s">
        <v>107</v>
      </c>
      <c r="C116" s="5" t="s">
        <v>385</v>
      </c>
      <c r="D116" s="5" t="s">
        <v>391</v>
      </c>
      <c r="E116" s="5" t="s">
        <v>295</v>
      </c>
      <c r="F116" s="5">
        <f>IFERROR(VLOOKUP(B116,[1]Sheet1!A:B,2,0),0)</f>
        <v>0</v>
      </c>
      <c r="G116" s="5">
        <f>IFERROR(VLOOKUP(B116,[1]Sheet1!A:E,5,0),0)</f>
        <v>0</v>
      </c>
      <c r="H116" s="5">
        <f>IFERROR(VLOOKUP(B116,[1]Sheet1!A:E,4,0),0)</f>
        <v>118</v>
      </c>
      <c r="I116" s="5">
        <f t="shared" si="4"/>
        <v>118</v>
      </c>
      <c r="J116" s="5">
        <v>3134</v>
      </c>
      <c r="K116" s="6">
        <f t="shared" si="5"/>
        <v>0.45181876196553922</v>
      </c>
    </row>
    <row r="117" spans="1:11" ht="14.5" x14ac:dyDescent="0.25">
      <c r="A117" s="4">
        <v>125</v>
      </c>
      <c r="B117" s="5" t="s">
        <v>305</v>
      </c>
      <c r="C117" s="5" t="s">
        <v>385</v>
      </c>
      <c r="D117" s="5" t="s">
        <v>306</v>
      </c>
      <c r="E117" s="5" t="s">
        <v>295</v>
      </c>
      <c r="F117" s="5">
        <f>IFERROR(VLOOKUP(B117,[1]Sheet1!A:B,2,0),0)</f>
        <v>3</v>
      </c>
      <c r="G117" s="5">
        <f>IFERROR(VLOOKUP(B117,[1]Sheet1!A:E,5,0),0)</f>
        <v>5</v>
      </c>
      <c r="H117" s="5">
        <f>IFERROR(VLOOKUP(B117,[1]Sheet1!A:E,4,0),0)</f>
        <v>12</v>
      </c>
      <c r="I117" s="5">
        <f t="shared" si="4"/>
        <v>17</v>
      </c>
      <c r="J117" s="5">
        <v>1355</v>
      </c>
      <c r="K117" s="6">
        <f t="shared" si="5"/>
        <v>0.15055350553505534</v>
      </c>
    </row>
    <row r="118" spans="1:11" ht="14.5" x14ac:dyDescent="0.25">
      <c r="A118" s="4">
        <v>127</v>
      </c>
      <c r="B118" s="5" t="s">
        <v>15</v>
      </c>
      <c r="C118" s="5" t="s">
        <v>385</v>
      </c>
      <c r="D118" s="5" t="s">
        <v>347</v>
      </c>
      <c r="E118" s="5" t="s">
        <v>295</v>
      </c>
      <c r="F118" s="5">
        <f>IFERROR(VLOOKUP(B118,[1]Sheet1!A:B,2,0),0)</f>
        <v>2</v>
      </c>
      <c r="G118" s="5">
        <f>IFERROR(VLOOKUP(B118,[1]Sheet1!A:E,5,0),0)</f>
        <v>113</v>
      </c>
      <c r="H118" s="5">
        <f>IFERROR(VLOOKUP(B118,[1]Sheet1!A:E,4,0),0)</f>
        <v>45</v>
      </c>
      <c r="I118" s="5">
        <f t="shared" si="4"/>
        <v>158</v>
      </c>
      <c r="J118" s="5">
        <v>4951</v>
      </c>
      <c r="K118" s="6">
        <f t="shared" si="5"/>
        <v>0.38295293880024239</v>
      </c>
    </row>
    <row r="119" spans="1:11" ht="14.5" x14ac:dyDescent="0.25">
      <c r="A119" s="4">
        <v>128</v>
      </c>
      <c r="B119" s="5" t="s">
        <v>57</v>
      </c>
      <c r="C119" s="5" t="s">
        <v>385</v>
      </c>
      <c r="D119" s="5" t="s">
        <v>307</v>
      </c>
      <c r="E119" s="5" t="s">
        <v>295</v>
      </c>
      <c r="F119" s="5">
        <f>IFERROR(VLOOKUP(B119,[1]Sheet1!A:B,2,0),0)</f>
        <v>0</v>
      </c>
      <c r="G119" s="5">
        <f>IFERROR(VLOOKUP(B119,[1]Sheet1!A:E,5,0),0)</f>
        <v>39</v>
      </c>
      <c r="H119" s="5">
        <f>IFERROR(VLOOKUP(B119,[1]Sheet1!A:E,4,0),0)</f>
        <v>87</v>
      </c>
      <c r="I119" s="5">
        <f t="shared" si="4"/>
        <v>126</v>
      </c>
      <c r="J119" s="5">
        <v>3599</v>
      </c>
      <c r="K119" s="6">
        <f t="shared" si="5"/>
        <v>0.42011669908307858</v>
      </c>
    </row>
    <row r="120" spans="1:11" ht="14.5" x14ac:dyDescent="0.25">
      <c r="A120" s="4">
        <v>129</v>
      </c>
      <c r="B120" s="5" t="s">
        <v>12</v>
      </c>
      <c r="C120" s="5" t="s">
        <v>385</v>
      </c>
      <c r="D120" s="5" t="s">
        <v>308</v>
      </c>
      <c r="E120" s="5" t="s">
        <v>295</v>
      </c>
      <c r="F120" s="5">
        <f>IFERROR(VLOOKUP(B120,[1]Sheet1!A:B,2,0),0)</f>
        <v>0</v>
      </c>
      <c r="G120" s="5">
        <f>IFERROR(VLOOKUP(B120,[1]Sheet1!A:E,5,0),0)</f>
        <v>18</v>
      </c>
      <c r="H120" s="5">
        <f>IFERROR(VLOOKUP(B120,[1]Sheet1!A:E,4,0),0)</f>
        <v>150</v>
      </c>
      <c r="I120" s="5">
        <f t="shared" si="4"/>
        <v>168</v>
      </c>
      <c r="J120" s="5">
        <v>4567</v>
      </c>
      <c r="K120" s="6">
        <f t="shared" si="5"/>
        <v>0.44142763301948768</v>
      </c>
    </row>
    <row r="121" spans="1:11" ht="14.5" x14ac:dyDescent="0.25">
      <c r="A121" s="4">
        <v>130</v>
      </c>
      <c r="B121" s="5" t="s">
        <v>115</v>
      </c>
      <c r="C121" s="5" t="s">
        <v>385</v>
      </c>
      <c r="D121" s="5" t="s">
        <v>296</v>
      </c>
      <c r="E121" s="5" t="s">
        <v>302</v>
      </c>
      <c r="F121" s="5">
        <f>IFERROR(VLOOKUP(B121,[1]Sheet1!A:B,2,0),0)</f>
        <v>0</v>
      </c>
      <c r="G121" s="5">
        <f>IFERROR(VLOOKUP(B121,[1]Sheet1!A:E,5,0),0)</f>
        <v>0</v>
      </c>
      <c r="H121" s="5">
        <f>IFERROR(VLOOKUP(B121,[1]Sheet1!A:E,4,0),0)</f>
        <v>69</v>
      </c>
      <c r="I121" s="5">
        <f t="shared" si="4"/>
        <v>69</v>
      </c>
      <c r="J121" s="5">
        <v>2353</v>
      </c>
      <c r="K121" s="6">
        <f t="shared" si="5"/>
        <v>0.35189120271993196</v>
      </c>
    </row>
    <row r="122" spans="1:11" ht="14.5" x14ac:dyDescent="0.25">
      <c r="A122" s="4">
        <v>131</v>
      </c>
      <c r="B122" s="5" t="s">
        <v>118</v>
      </c>
      <c r="C122" s="5" t="s">
        <v>385</v>
      </c>
      <c r="D122" s="5" t="s">
        <v>297</v>
      </c>
      <c r="E122" s="5" t="s">
        <v>302</v>
      </c>
      <c r="F122" s="5">
        <f>IFERROR(VLOOKUP(B122,[1]Sheet1!A:B,2,0),0)</f>
        <v>0</v>
      </c>
      <c r="G122" s="5">
        <f>IFERROR(VLOOKUP(B122,[1]Sheet1!A:E,5,0),0)</f>
        <v>0</v>
      </c>
      <c r="H122" s="5">
        <f>IFERROR(VLOOKUP(B122,[1]Sheet1!A:E,4,0),0)</f>
        <v>61</v>
      </c>
      <c r="I122" s="5">
        <f t="shared" si="4"/>
        <v>61</v>
      </c>
      <c r="J122" s="5">
        <v>1701</v>
      </c>
      <c r="K122" s="6">
        <f t="shared" si="5"/>
        <v>0.43033509700176364</v>
      </c>
    </row>
    <row r="123" spans="1:11" ht="14.5" x14ac:dyDescent="0.25">
      <c r="A123" s="4">
        <v>132</v>
      </c>
      <c r="B123" s="5" t="s">
        <v>392</v>
      </c>
      <c r="C123" s="5" t="s">
        <v>385</v>
      </c>
      <c r="D123" s="5" t="s">
        <v>393</v>
      </c>
      <c r="E123" s="5" t="s">
        <v>302</v>
      </c>
      <c r="F123" s="5">
        <f>IFERROR(VLOOKUP(B123,[1]Sheet1!A:B,2,0),0)</f>
        <v>0</v>
      </c>
      <c r="G123" s="5">
        <f>IFERROR(VLOOKUP(B123,[1]Sheet1!A:E,5,0),0)</f>
        <v>0</v>
      </c>
      <c r="H123" s="5">
        <f>IFERROR(VLOOKUP(B123,[1]Sheet1!A:E,4,0),0)</f>
        <v>0</v>
      </c>
      <c r="I123" s="5">
        <f t="shared" si="4"/>
        <v>0</v>
      </c>
      <c r="J123" s="5">
        <v>135</v>
      </c>
      <c r="K123" s="6">
        <f t="shared" si="5"/>
        <v>0</v>
      </c>
    </row>
    <row r="124" spans="1:11" ht="14.5" x14ac:dyDescent="0.25">
      <c r="A124" s="4">
        <v>133</v>
      </c>
      <c r="B124" s="5" t="s">
        <v>96</v>
      </c>
      <c r="C124" s="5" t="s">
        <v>385</v>
      </c>
      <c r="D124" s="5" t="s">
        <v>312</v>
      </c>
      <c r="E124" s="5" t="s">
        <v>302</v>
      </c>
      <c r="F124" s="5">
        <f>IFERROR(VLOOKUP(B124,[1]Sheet1!A:B,2,0),0)</f>
        <v>0</v>
      </c>
      <c r="G124" s="5">
        <f>IFERROR(VLOOKUP(B124,[1]Sheet1!A:E,5,0),0)</f>
        <v>43</v>
      </c>
      <c r="H124" s="5">
        <f>IFERROR(VLOOKUP(B124,[1]Sheet1!A:E,4,0),0)</f>
        <v>145</v>
      </c>
      <c r="I124" s="5">
        <f t="shared" si="4"/>
        <v>188</v>
      </c>
      <c r="J124" s="5">
        <v>5529</v>
      </c>
      <c r="K124" s="6">
        <f t="shared" si="5"/>
        <v>0.40803038524145413</v>
      </c>
    </row>
    <row r="125" spans="1:11" ht="14.5" x14ac:dyDescent="0.25">
      <c r="A125" s="4">
        <v>134</v>
      </c>
      <c r="B125" s="5" t="s">
        <v>45</v>
      </c>
      <c r="C125" s="5" t="s">
        <v>385</v>
      </c>
      <c r="D125" s="5" t="s">
        <v>313</v>
      </c>
      <c r="E125" s="5" t="s">
        <v>302</v>
      </c>
      <c r="F125" s="5">
        <f>IFERROR(VLOOKUP(B125,[1]Sheet1!A:B,2,0),0)</f>
        <v>0</v>
      </c>
      <c r="G125" s="5">
        <f>IFERROR(VLOOKUP(B125,[1]Sheet1!A:E,5,0),0)</f>
        <v>0</v>
      </c>
      <c r="H125" s="5">
        <f>IFERROR(VLOOKUP(B125,[1]Sheet1!A:E,4,0),0)</f>
        <v>127</v>
      </c>
      <c r="I125" s="5">
        <f t="shared" si="4"/>
        <v>127</v>
      </c>
      <c r="J125" s="5">
        <v>3337</v>
      </c>
      <c r="K125" s="6">
        <f t="shared" si="5"/>
        <v>0.45669763260413548</v>
      </c>
    </row>
    <row r="126" spans="1:11" ht="14.5" x14ac:dyDescent="0.25">
      <c r="A126" s="4">
        <v>135</v>
      </c>
      <c r="B126" s="5" t="s">
        <v>43</v>
      </c>
      <c r="C126" s="5" t="s">
        <v>385</v>
      </c>
      <c r="D126" s="5" t="s">
        <v>314</v>
      </c>
      <c r="E126" s="5" t="s">
        <v>302</v>
      </c>
      <c r="F126" s="5">
        <f>IFERROR(VLOOKUP(B126,[1]Sheet1!A:B,2,0),0)</f>
        <v>0</v>
      </c>
      <c r="G126" s="5">
        <f>IFERROR(VLOOKUP(B126,[1]Sheet1!A:E,5,0),0)</f>
        <v>0</v>
      </c>
      <c r="H126" s="5">
        <f>IFERROR(VLOOKUP(B126,[1]Sheet1!A:E,4,0),0)</f>
        <v>153</v>
      </c>
      <c r="I126" s="5">
        <f t="shared" si="4"/>
        <v>153</v>
      </c>
      <c r="J126" s="5">
        <v>3969</v>
      </c>
      <c r="K126" s="6">
        <f t="shared" si="5"/>
        <v>0.46258503401360546</v>
      </c>
    </row>
    <row r="127" spans="1:11" ht="14.5" x14ac:dyDescent="0.25">
      <c r="A127" s="4">
        <v>136</v>
      </c>
      <c r="B127" s="5" t="s">
        <v>394</v>
      </c>
      <c r="C127" s="5" t="s">
        <v>385</v>
      </c>
      <c r="D127" s="5" t="s">
        <v>395</v>
      </c>
      <c r="E127" s="5" t="s">
        <v>302</v>
      </c>
      <c r="F127" s="5">
        <f>IFERROR(VLOOKUP(B127,[1]Sheet1!A:B,2,0),0)</f>
        <v>0</v>
      </c>
      <c r="G127" s="5">
        <f>IFERROR(VLOOKUP(B127,[1]Sheet1!A:E,5,0),0)</f>
        <v>0</v>
      </c>
      <c r="H127" s="5">
        <f>IFERROR(VLOOKUP(B127,[1]Sheet1!A:E,4,0),0)</f>
        <v>60</v>
      </c>
      <c r="I127" s="5">
        <f t="shared" si="4"/>
        <v>60</v>
      </c>
      <c r="J127" s="5">
        <v>1918</v>
      </c>
      <c r="K127" s="6">
        <f t="shared" si="5"/>
        <v>0.37539103232533888</v>
      </c>
    </row>
    <row r="128" spans="1:11" ht="14.5" x14ac:dyDescent="0.25">
      <c r="A128" s="4">
        <v>137</v>
      </c>
      <c r="B128" s="5" t="s">
        <v>396</v>
      </c>
      <c r="C128" s="5" t="s">
        <v>385</v>
      </c>
      <c r="D128" s="5" t="s">
        <v>309</v>
      </c>
      <c r="E128" s="5" t="s">
        <v>356</v>
      </c>
      <c r="F128" s="5">
        <f>IFERROR(VLOOKUP(B128,[1]Sheet1!A:B,2,0),0)</f>
        <v>0</v>
      </c>
      <c r="G128" s="5">
        <f>IFERROR(VLOOKUP(B128,[1]Sheet1!A:E,5,0),0)</f>
        <v>0</v>
      </c>
      <c r="H128" s="5">
        <f>IFERROR(VLOOKUP(B128,[1]Sheet1!A:E,4,0),0)</f>
        <v>28</v>
      </c>
      <c r="I128" s="5">
        <f>G128+H128</f>
        <v>28</v>
      </c>
      <c r="J128" s="5">
        <v>1334</v>
      </c>
      <c r="K128" s="6">
        <f>I128/(J128/12)</f>
        <v>0.25187406296851572</v>
      </c>
    </row>
    <row r="129" spans="1:11" ht="14.5" x14ac:dyDescent="0.25">
      <c r="A129" s="4">
        <v>138</v>
      </c>
      <c r="B129" s="5" t="s">
        <v>397</v>
      </c>
      <c r="C129" s="5" t="s">
        <v>385</v>
      </c>
      <c r="D129" s="5" t="s">
        <v>398</v>
      </c>
      <c r="E129" s="5" t="s">
        <v>356</v>
      </c>
      <c r="F129" s="5">
        <f>IFERROR(VLOOKUP(B129,[1]Sheet1!A:B,2,0),0)</f>
        <v>0</v>
      </c>
      <c r="G129" s="5">
        <f>IFERROR(VLOOKUP(B129,[1]Sheet1!A:E,5,0),0)</f>
        <v>0</v>
      </c>
      <c r="H129" s="5">
        <f>IFERROR(VLOOKUP(B129,[1]Sheet1!A:E,4,0),0)</f>
        <v>6</v>
      </c>
      <c r="I129" s="5">
        <f>G129+H129</f>
        <v>6</v>
      </c>
      <c r="J129" s="5">
        <v>822</v>
      </c>
      <c r="K129" s="6">
        <f>I129/(J129/12)</f>
        <v>8.7591240875912413E-2</v>
      </c>
    </row>
    <row r="130" spans="1:11" ht="14.5" x14ac:dyDescent="0.25">
      <c r="A130" s="4">
        <v>139</v>
      </c>
      <c r="B130" s="5" t="s">
        <v>77</v>
      </c>
      <c r="C130" s="5" t="s">
        <v>385</v>
      </c>
      <c r="D130" s="5" t="s">
        <v>310</v>
      </c>
      <c r="E130" s="5" t="s">
        <v>399</v>
      </c>
      <c r="F130" s="5">
        <f>IFERROR(VLOOKUP(B130,[1]Sheet1!A:B,2,0),0)</f>
        <v>0</v>
      </c>
      <c r="G130" s="5">
        <f>IFERROR(VLOOKUP(B130,[1]Sheet1!A:E,5,0),0)</f>
        <v>0</v>
      </c>
      <c r="H130" s="5">
        <f>IFERROR(VLOOKUP(B130,[1]Sheet1!A:E,4,0),0)</f>
        <v>200</v>
      </c>
      <c r="I130" s="5">
        <f>G130+H130</f>
        <v>200</v>
      </c>
      <c r="J130" s="5">
        <v>4751</v>
      </c>
      <c r="K130" s="6">
        <f>I130/(J130/12)</f>
        <v>0.50515680909282257</v>
      </c>
    </row>
    <row r="131" spans="1:11" ht="14.5" x14ac:dyDescent="0.25">
      <c r="A131" s="4">
        <v>140</v>
      </c>
      <c r="B131" s="5" t="s">
        <v>82</v>
      </c>
      <c r="C131" s="5" t="s">
        <v>385</v>
      </c>
      <c r="D131" s="5" t="s">
        <v>311</v>
      </c>
      <c r="E131" s="5" t="s">
        <v>356</v>
      </c>
      <c r="F131" s="5">
        <f>IFERROR(VLOOKUP(B131,[1]Sheet1!A:B,2,0),0)</f>
        <v>0</v>
      </c>
      <c r="G131" s="5">
        <f>IFERROR(VLOOKUP(B131,[1]Sheet1!A:E,5,0),0)</f>
        <v>0</v>
      </c>
      <c r="H131" s="5">
        <f>IFERROR(VLOOKUP(B131,[1]Sheet1!A:E,4,0),0)</f>
        <v>95</v>
      </c>
      <c r="I131" s="5">
        <f>G131+H131</f>
        <v>95</v>
      </c>
      <c r="J131" s="5">
        <v>2765</v>
      </c>
      <c r="K131" s="6">
        <f>I131/(J131/12)</f>
        <v>0.41229656419529837</v>
      </c>
    </row>
    <row r="132" spans="1:11" ht="14.5" x14ac:dyDescent="0.25">
      <c r="A132" s="4">
        <v>141</v>
      </c>
      <c r="B132" s="5" t="s">
        <v>8</v>
      </c>
      <c r="C132" s="5" t="s">
        <v>7</v>
      </c>
      <c r="D132" s="5" t="s">
        <v>151</v>
      </c>
      <c r="E132" s="5" t="s">
        <v>355</v>
      </c>
      <c r="F132" s="5">
        <f>IFERROR(VLOOKUP(B132,[1]Sheet1!A:B,2,0),0)</f>
        <v>0</v>
      </c>
      <c r="G132" s="5">
        <f>IFERROR(VLOOKUP(B132,[1]Sheet1!A:E,5,0),0)</f>
        <v>0</v>
      </c>
      <c r="H132" s="5">
        <f>IFERROR(VLOOKUP(B132,[1]Sheet1!A:E,4,0),0)</f>
        <v>125</v>
      </c>
      <c r="I132" s="5">
        <f t="shared" si="4"/>
        <v>125</v>
      </c>
      <c r="J132" s="5">
        <v>2982</v>
      </c>
      <c r="K132" s="6">
        <f t="shared" si="5"/>
        <v>0.50301810865191143</v>
      </c>
    </row>
    <row r="133" spans="1:11" ht="14.5" x14ac:dyDescent="0.25">
      <c r="A133" s="4">
        <v>142</v>
      </c>
      <c r="B133" s="7" t="s">
        <v>400</v>
      </c>
      <c r="C133" s="5" t="s">
        <v>7</v>
      </c>
      <c r="D133" s="5" t="s">
        <v>152</v>
      </c>
      <c r="E133" s="5" t="s">
        <v>355</v>
      </c>
      <c r="F133" s="5">
        <f>IFERROR(VLOOKUP(B133,[1]Sheet1!A:B,2,0),0)</f>
        <v>0</v>
      </c>
      <c r="G133" s="5">
        <f>IFERROR(VLOOKUP(B133,[1]Sheet1!A:E,5,0),0)</f>
        <v>0</v>
      </c>
      <c r="H133" s="5">
        <f>IFERROR(VLOOKUP(B133,[1]Sheet1!A:E,4,0),0)</f>
        <v>24</v>
      </c>
      <c r="I133" s="5">
        <f t="shared" si="4"/>
        <v>24</v>
      </c>
      <c r="J133" s="5">
        <v>670</v>
      </c>
      <c r="K133" s="6">
        <f t="shared" si="5"/>
        <v>0.42985074626865671</v>
      </c>
    </row>
    <row r="134" spans="1:11" ht="14.5" x14ac:dyDescent="0.25">
      <c r="A134" s="4">
        <v>143</v>
      </c>
      <c r="B134" s="5" t="s">
        <v>135</v>
      </c>
      <c r="C134" s="5" t="s">
        <v>7</v>
      </c>
      <c r="D134" s="5" t="s">
        <v>153</v>
      </c>
      <c r="E134" s="5" t="s">
        <v>355</v>
      </c>
      <c r="F134" s="5">
        <f>IFERROR(VLOOKUP(B134,[1]Sheet1!A:B,2,0),0)</f>
        <v>0</v>
      </c>
      <c r="G134" s="5">
        <f>IFERROR(VLOOKUP(B134,[1]Sheet1!A:E,5,0),0)</f>
        <v>0</v>
      </c>
      <c r="H134" s="5">
        <f>IFERROR(VLOOKUP(B134,[1]Sheet1!A:E,4,0),0)</f>
        <v>0</v>
      </c>
      <c r="I134" s="5">
        <f t="shared" si="4"/>
        <v>0</v>
      </c>
      <c r="J134" s="5">
        <v>470</v>
      </c>
      <c r="K134" s="6">
        <f t="shared" si="5"/>
        <v>0</v>
      </c>
    </row>
    <row r="135" spans="1:11" ht="14.5" x14ac:dyDescent="0.25">
      <c r="A135" s="4">
        <v>144</v>
      </c>
      <c r="B135" s="5" t="s">
        <v>28</v>
      </c>
      <c r="C135" s="5" t="s">
        <v>7</v>
      </c>
      <c r="D135" s="5" t="s">
        <v>160</v>
      </c>
      <c r="E135" s="5" t="s">
        <v>355</v>
      </c>
      <c r="F135" s="5">
        <f>IFERROR(VLOOKUP(B135,[1]Sheet1!A:B,2,0),0)</f>
        <v>2</v>
      </c>
      <c r="G135" s="5">
        <f>IFERROR(VLOOKUP(B135,[1]Sheet1!A:E,5,0),0)</f>
        <v>7</v>
      </c>
      <c r="H135" s="5">
        <f>IFERROR(VLOOKUP(B135,[1]Sheet1!A:E,4,0),0)</f>
        <v>90</v>
      </c>
      <c r="I135" s="5">
        <f t="shared" si="4"/>
        <v>97</v>
      </c>
      <c r="J135" s="5">
        <v>2486</v>
      </c>
      <c r="K135" s="6">
        <f t="shared" si="5"/>
        <v>0.46822204344328239</v>
      </c>
    </row>
    <row r="136" spans="1:11" ht="14.5" x14ac:dyDescent="0.25">
      <c r="A136" s="4">
        <v>145</v>
      </c>
      <c r="B136" s="5" t="s">
        <v>156</v>
      </c>
      <c r="C136" s="5" t="s">
        <v>7</v>
      </c>
      <c r="D136" s="5" t="s">
        <v>157</v>
      </c>
      <c r="E136" s="5" t="s">
        <v>355</v>
      </c>
      <c r="F136" s="5">
        <f>IFERROR(VLOOKUP(B136,[1]Sheet1!A:B,2,0),0)</f>
        <v>0</v>
      </c>
      <c r="G136" s="5">
        <f>IFERROR(VLOOKUP(B136,[1]Sheet1!A:E,5,0),0)</f>
        <v>0</v>
      </c>
      <c r="H136" s="5">
        <f>IFERROR(VLOOKUP(B136,[1]Sheet1!A:E,4,0),0)</f>
        <v>100</v>
      </c>
      <c r="I136" s="5">
        <f t="shared" si="4"/>
        <v>100</v>
      </c>
      <c r="J136" s="5">
        <v>2396</v>
      </c>
      <c r="K136" s="6">
        <f t="shared" si="5"/>
        <v>0.5008347245409015</v>
      </c>
    </row>
    <row r="137" spans="1:11" ht="14.5" x14ac:dyDescent="0.25">
      <c r="A137" s="4">
        <v>146</v>
      </c>
      <c r="B137" s="5" t="s">
        <v>10</v>
      </c>
      <c r="C137" s="5" t="s">
        <v>7</v>
      </c>
      <c r="D137" s="5" t="s">
        <v>158</v>
      </c>
      <c r="E137" s="5" t="s">
        <v>355</v>
      </c>
      <c r="F137" s="5">
        <f>IFERROR(VLOOKUP(B137,[1]Sheet1!A:B,2,0),0)</f>
        <v>0</v>
      </c>
      <c r="G137" s="5">
        <f>IFERROR(VLOOKUP(B137,[1]Sheet1!A:E,5,0),0)</f>
        <v>28</v>
      </c>
      <c r="H137" s="5">
        <f>IFERROR(VLOOKUP(B137,[1]Sheet1!A:E,4,0),0)</f>
        <v>63</v>
      </c>
      <c r="I137" s="5">
        <f t="shared" si="4"/>
        <v>91</v>
      </c>
      <c r="J137" s="5">
        <v>2027</v>
      </c>
      <c r="K137" s="6">
        <f t="shared" si="5"/>
        <v>0.53872718302910705</v>
      </c>
    </row>
    <row r="138" spans="1:11" ht="14.5" x14ac:dyDescent="0.25">
      <c r="A138" s="4">
        <v>147</v>
      </c>
      <c r="B138" s="5" t="s">
        <v>18</v>
      </c>
      <c r="C138" s="5" t="s">
        <v>7</v>
      </c>
      <c r="D138" s="5" t="s">
        <v>159</v>
      </c>
      <c r="E138" s="5" t="s">
        <v>355</v>
      </c>
      <c r="F138" s="5">
        <f>IFERROR(VLOOKUP(B138,[1]Sheet1!A:B,2,0),0)</f>
        <v>5</v>
      </c>
      <c r="G138" s="5">
        <f>IFERROR(VLOOKUP(B138,[1]Sheet1!A:E,5,0),0)</f>
        <v>0</v>
      </c>
      <c r="H138" s="5">
        <f>IFERROR(VLOOKUP(B138,[1]Sheet1!A:E,4,0),0)</f>
        <v>31</v>
      </c>
      <c r="I138" s="5">
        <f t="shared" si="4"/>
        <v>31</v>
      </c>
      <c r="J138" s="5">
        <v>939</v>
      </c>
      <c r="K138" s="6">
        <f t="shared" si="5"/>
        <v>0.3961661341853035</v>
      </c>
    </row>
    <row r="139" spans="1:11" ht="14.5" x14ac:dyDescent="0.25">
      <c r="A139" s="4">
        <v>148</v>
      </c>
      <c r="B139" s="5" t="s">
        <v>39</v>
      </c>
      <c r="C139" s="5" t="s">
        <v>7</v>
      </c>
      <c r="D139" s="5" t="s">
        <v>154</v>
      </c>
      <c r="E139" s="5" t="s">
        <v>350</v>
      </c>
      <c r="F139" s="5">
        <f>IFERROR(VLOOKUP(B139,[1]Sheet1!A:B,2,0),0)</f>
        <v>0</v>
      </c>
      <c r="G139" s="5">
        <f>IFERROR(VLOOKUP(B139,[1]Sheet1!A:E,5,0),0)</f>
        <v>0</v>
      </c>
      <c r="H139" s="5">
        <f>IFERROR(VLOOKUP(B139,[1]Sheet1!A:E,4,0),0)</f>
        <v>48</v>
      </c>
      <c r="I139" s="5">
        <f t="shared" si="4"/>
        <v>48</v>
      </c>
      <c r="J139" s="5">
        <v>1259</v>
      </c>
      <c r="K139" s="6">
        <f t="shared" si="5"/>
        <v>0.45750595710881647</v>
      </c>
    </row>
    <row r="140" spans="1:11" ht="14.5" x14ac:dyDescent="0.25">
      <c r="A140" s="4">
        <v>149</v>
      </c>
      <c r="B140" s="5" t="s">
        <v>102</v>
      </c>
      <c r="C140" s="5" t="s">
        <v>7</v>
      </c>
      <c r="D140" s="5" t="s">
        <v>155</v>
      </c>
      <c r="E140" s="5" t="s">
        <v>350</v>
      </c>
      <c r="F140" s="5">
        <f>IFERROR(VLOOKUP(B140,[1]Sheet1!A:B,2,0),0)</f>
        <v>0</v>
      </c>
      <c r="G140" s="5">
        <f>IFERROR(VLOOKUP(B140,[1]Sheet1!A:E,5,0),0)</f>
        <v>3</v>
      </c>
      <c r="H140" s="5">
        <f>IFERROR(VLOOKUP(B140,[1]Sheet1!A:E,4,0),0)</f>
        <v>48</v>
      </c>
      <c r="I140" s="5">
        <f t="shared" si="4"/>
        <v>51</v>
      </c>
      <c r="J140" s="5">
        <v>1328</v>
      </c>
      <c r="K140" s="6">
        <f t="shared" si="5"/>
        <v>0.46084337349397586</v>
      </c>
    </row>
    <row r="141" spans="1:11" ht="14.5" x14ac:dyDescent="0.25">
      <c r="A141" s="4">
        <v>150</v>
      </c>
      <c r="B141" s="5" t="s">
        <v>126</v>
      </c>
      <c r="C141" s="5" t="s">
        <v>7</v>
      </c>
      <c r="D141" s="5" t="s">
        <v>161</v>
      </c>
      <c r="E141" s="5" t="s">
        <v>350</v>
      </c>
      <c r="F141" s="5">
        <f>IFERROR(VLOOKUP(B141,[1]Sheet1!A:B,2,0),0)</f>
        <v>0</v>
      </c>
      <c r="G141" s="5">
        <f>IFERROR(VLOOKUP(B141,[1]Sheet1!A:E,5,0),0)</f>
        <v>0</v>
      </c>
      <c r="H141" s="5">
        <f>IFERROR(VLOOKUP(B141,[1]Sheet1!A:E,4,0),0)</f>
        <v>106</v>
      </c>
      <c r="I141" s="5">
        <f t="shared" si="4"/>
        <v>106</v>
      </c>
      <c r="J141" s="5">
        <v>2765</v>
      </c>
      <c r="K141" s="6">
        <f t="shared" si="5"/>
        <v>0.46003616636528033</v>
      </c>
    </row>
    <row r="142" spans="1:11" ht="14.5" x14ac:dyDescent="0.25">
      <c r="A142" s="4">
        <v>151</v>
      </c>
      <c r="B142" s="5" t="s">
        <v>61</v>
      </c>
      <c r="C142" s="5" t="s">
        <v>7</v>
      </c>
      <c r="D142" s="5" t="s">
        <v>162</v>
      </c>
      <c r="E142" s="5" t="s">
        <v>350</v>
      </c>
      <c r="F142" s="5">
        <f>IFERROR(VLOOKUP(B142,[1]Sheet1!A:B,2,0),0)</f>
        <v>0</v>
      </c>
      <c r="G142" s="5">
        <f>IFERROR(VLOOKUP(B142,[1]Sheet1!A:E,5,0),0)</f>
        <v>0</v>
      </c>
      <c r="H142" s="5">
        <f>IFERROR(VLOOKUP(B142,[1]Sheet1!A:E,4,0),0)</f>
        <v>28</v>
      </c>
      <c r="I142" s="5">
        <f t="shared" si="4"/>
        <v>28</v>
      </c>
      <c r="J142" s="5">
        <v>742</v>
      </c>
      <c r="K142" s="6">
        <f t="shared" si="5"/>
        <v>0.45283018867924524</v>
      </c>
    </row>
    <row r="143" spans="1:11" ht="14.5" x14ac:dyDescent="0.25">
      <c r="A143" s="4">
        <v>152</v>
      </c>
      <c r="B143" s="5" t="s">
        <v>81</v>
      </c>
      <c r="C143" s="5" t="s">
        <v>7</v>
      </c>
      <c r="D143" s="5" t="s">
        <v>163</v>
      </c>
      <c r="E143" s="5" t="s">
        <v>350</v>
      </c>
      <c r="F143" s="5">
        <f>IFERROR(VLOOKUP(B143,[1]Sheet1!A:B,2,0),0)</f>
        <v>0</v>
      </c>
      <c r="G143" s="5">
        <f>IFERROR(VLOOKUP(B143,[1]Sheet1!A:E,5,0),0)</f>
        <v>0</v>
      </c>
      <c r="H143" s="5">
        <f>IFERROR(VLOOKUP(B143,[1]Sheet1!A:E,4,0),0)</f>
        <v>77</v>
      </c>
      <c r="I143" s="5">
        <f t="shared" si="4"/>
        <v>77</v>
      </c>
      <c r="J143" s="5">
        <v>2043</v>
      </c>
      <c r="K143" s="6">
        <f t="shared" si="5"/>
        <v>0.45227606461086639</v>
      </c>
    </row>
    <row r="144" spans="1:11" ht="14.5" x14ac:dyDescent="0.25">
      <c r="A144" s="4">
        <v>153</v>
      </c>
      <c r="B144" s="5" t="s">
        <v>30</v>
      </c>
      <c r="C144" s="5" t="s">
        <v>7</v>
      </c>
      <c r="D144" s="5" t="s">
        <v>164</v>
      </c>
      <c r="E144" s="5" t="s">
        <v>350</v>
      </c>
      <c r="F144" s="5">
        <f>IFERROR(VLOOKUP(B144,[1]Sheet1!A:B,2,0),0)</f>
        <v>0</v>
      </c>
      <c r="G144" s="5">
        <f>IFERROR(VLOOKUP(B144,[1]Sheet1!A:E,5,0),0)</f>
        <v>0</v>
      </c>
      <c r="H144" s="5">
        <f>IFERROR(VLOOKUP(B144,[1]Sheet1!A:E,4,0),0)</f>
        <v>94</v>
      </c>
      <c r="I144" s="5">
        <f t="shared" si="4"/>
        <v>94</v>
      </c>
      <c r="J144" s="5">
        <v>2706</v>
      </c>
      <c r="K144" s="6">
        <f t="shared" si="5"/>
        <v>0.41685144124168516</v>
      </c>
    </row>
    <row r="145" spans="1:11" ht="14.5" x14ac:dyDescent="0.25">
      <c r="A145" s="4">
        <v>154</v>
      </c>
      <c r="B145" s="5" t="s">
        <v>27</v>
      </c>
      <c r="C145" s="5" t="s">
        <v>7</v>
      </c>
      <c r="D145" s="5" t="s">
        <v>401</v>
      </c>
      <c r="E145" s="5" t="s">
        <v>350</v>
      </c>
      <c r="F145" s="5">
        <f>IFERROR(VLOOKUP(B145,[1]Sheet1!A:B,2,0),0)</f>
        <v>0</v>
      </c>
      <c r="G145" s="5">
        <f>IFERROR(VLOOKUP(B145,[1]Sheet1!A:E,5,0),0)</f>
        <v>0</v>
      </c>
      <c r="H145" s="5">
        <f>IFERROR(VLOOKUP(B145,[1]Sheet1!A:E,4,0),0)</f>
        <v>93</v>
      </c>
      <c r="I145" s="5">
        <f t="shared" si="4"/>
        <v>93</v>
      </c>
      <c r="J145" s="5">
        <v>2233</v>
      </c>
      <c r="K145" s="6">
        <f t="shared" si="5"/>
        <v>0.49977608598298251</v>
      </c>
    </row>
    <row r="146" spans="1:11" ht="14.5" x14ac:dyDescent="0.25">
      <c r="A146" s="4">
        <v>155</v>
      </c>
      <c r="B146" s="5" t="s">
        <v>402</v>
      </c>
      <c r="C146" s="5" t="s">
        <v>403</v>
      </c>
      <c r="D146" s="5" t="s">
        <v>404</v>
      </c>
      <c r="E146" s="5" t="s">
        <v>350</v>
      </c>
      <c r="F146" s="5">
        <f>IFERROR(VLOOKUP(B146,[1]Sheet1!A:B,2,0),0)</f>
        <v>0</v>
      </c>
      <c r="G146" s="5">
        <f>IFERROR(VLOOKUP(B146,[1]Sheet1!A:E,5,0),0)</f>
        <v>12</v>
      </c>
      <c r="H146" s="5">
        <f>IFERROR(VLOOKUP(B146,[1]Sheet1!A:E,4,0),0)</f>
        <v>55</v>
      </c>
      <c r="I146" s="5">
        <f t="shared" si="4"/>
        <v>67</v>
      </c>
      <c r="J146" s="5">
        <v>1801</v>
      </c>
      <c r="K146" s="6">
        <f t="shared" si="5"/>
        <v>0.44641865630205441</v>
      </c>
    </row>
    <row r="147" spans="1:11" ht="14.5" x14ac:dyDescent="0.25">
      <c r="A147" s="4">
        <v>156</v>
      </c>
      <c r="B147" s="5" t="s">
        <v>405</v>
      </c>
      <c r="C147" s="5" t="s">
        <v>403</v>
      </c>
      <c r="D147" s="5" t="s">
        <v>406</v>
      </c>
      <c r="E147" s="5" t="s">
        <v>350</v>
      </c>
      <c r="F147" s="5">
        <f>IFERROR(VLOOKUP(B147,[1]Sheet1!A:B,2,0),0)</f>
        <v>0</v>
      </c>
      <c r="G147" s="5">
        <f>IFERROR(VLOOKUP(B147,[1]Sheet1!A:E,5,0),0)</f>
        <v>0</v>
      </c>
      <c r="H147" s="5">
        <f>IFERROR(VLOOKUP(B147,[1]Sheet1!A:E,4,0),0)</f>
        <v>20</v>
      </c>
      <c r="I147" s="5">
        <f t="shared" si="4"/>
        <v>20</v>
      </c>
      <c r="J147" s="5">
        <v>385</v>
      </c>
      <c r="K147" s="6">
        <f t="shared" si="5"/>
        <v>0.62337662337662336</v>
      </c>
    </row>
    <row r="148" spans="1:11" ht="14.5" x14ac:dyDescent="0.25">
      <c r="A148" s="4">
        <v>157</v>
      </c>
      <c r="B148" s="5" t="s">
        <v>97</v>
      </c>
      <c r="C148" s="5" t="s">
        <v>7</v>
      </c>
      <c r="D148" s="5" t="s">
        <v>165</v>
      </c>
      <c r="E148" s="5" t="s">
        <v>349</v>
      </c>
      <c r="F148" s="5">
        <f>IFERROR(VLOOKUP(B148,[1]Sheet1!A:B,2,0),0)</f>
        <v>0</v>
      </c>
      <c r="G148" s="5">
        <f>IFERROR(VLOOKUP(B148,[1]Sheet1!A:E,5,0),0)</f>
        <v>0</v>
      </c>
      <c r="H148" s="5">
        <f>IFERROR(VLOOKUP(B148,[1]Sheet1!A:E,4,0),0)</f>
        <v>14</v>
      </c>
      <c r="I148" s="5">
        <f t="shared" si="4"/>
        <v>14</v>
      </c>
      <c r="J148" s="5">
        <v>1215</v>
      </c>
      <c r="K148" s="6">
        <f t="shared" si="5"/>
        <v>0.13827160493827159</v>
      </c>
    </row>
    <row r="149" spans="1:11" ht="14.5" x14ac:dyDescent="0.25">
      <c r="A149" s="4">
        <v>158</v>
      </c>
      <c r="B149" s="5" t="s">
        <v>42</v>
      </c>
      <c r="C149" s="5" t="s">
        <v>7</v>
      </c>
      <c r="D149" s="5" t="s">
        <v>166</v>
      </c>
      <c r="E149" s="5" t="s">
        <v>349</v>
      </c>
      <c r="F149" s="5">
        <f>IFERROR(VLOOKUP(B149,[1]Sheet1!A:B,2,0),0)</f>
        <v>17</v>
      </c>
      <c r="G149" s="5">
        <f>IFERROR(VLOOKUP(B149,[1]Sheet1!A:E,5,0),0)</f>
        <v>32</v>
      </c>
      <c r="H149" s="5">
        <f>IFERROR(VLOOKUP(B149,[1]Sheet1!A:E,4,0),0)</f>
        <v>18</v>
      </c>
      <c r="I149" s="5">
        <f t="shared" si="4"/>
        <v>50</v>
      </c>
      <c r="J149" s="5">
        <v>1289</v>
      </c>
      <c r="K149" s="6">
        <f t="shared" si="5"/>
        <v>0.4654771140418929</v>
      </c>
    </row>
    <row r="150" spans="1:11" ht="14.5" x14ac:dyDescent="0.25">
      <c r="A150" s="4">
        <v>159</v>
      </c>
      <c r="B150" s="5" t="s">
        <v>167</v>
      </c>
      <c r="C150" s="5" t="s">
        <v>7</v>
      </c>
      <c r="D150" s="5" t="s">
        <v>168</v>
      </c>
      <c r="E150" s="5" t="s">
        <v>349</v>
      </c>
      <c r="F150" s="5">
        <f>IFERROR(VLOOKUP(B150,[1]Sheet1!A:B,2,0),0)</f>
        <v>0</v>
      </c>
      <c r="G150" s="5">
        <f>IFERROR(VLOOKUP(B150,[1]Sheet1!A:E,5,0),0)</f>
        <v>0</v>
      </c>
      <c r="H150" s="5">
        <f>IFERROR(VLOOKUP(B150,[1]Sheet1!A:E,4,0),0)</f>
        <v>0</v>
      </c>
      <c r="I150" s="5">
        <f t="shared" si="4"/>
        <v>0</v>
      </c>
      <c r="J150" s="5">
        <v>441</v>
      </c>
      <c r="K150" s="6">
        <f t="shared" si="5"/>
        <v>0</v>
      </c>
    </row>
    <row r="151" spans="1:11" ht="14.5" x14ac:dyDescent="0.25">
      <c r="A151" s="4">
        <v>160</v>
      </c>
      <c r="B151" s="5" t="s">
        <v>136</v>
      </c>
      <c r="C151" s="5" t="s">
        <v>7</v>
      </c>
      <c r="D151" s="5" t="s">
        <v>170</v>
      </c>
      <c r="E151" s="5" t="s">
        <v>349</v>
      </c>
      <c r="F151" s="5">
        <f>IFERROR(VLOOKUP(B151,[1]Sheet1!A:B,2,0),0)</f>
        <v>0</v>
      </c>
      <c r="G151" s="5">
        <f>IFERROR(VLOOKUP(B151,[1]Sheet1!A:E,5,0),0)</f>
        <v>0</v>
      </c>
      <c r="H151" s="5">
        <f>IFERROR(VLOOKUP(B151,[1]Sheet1!A:E,4,0),0)</f>
        <v>47</v>
      </c>
      <c r="I151" s="5">
        <f t="shared" si="4"/>
        <v>47</v>
      </c>
      <c r="J151" s="5">
        <v>1354</v>
      </c>
      <c r="K151" s="6">
        <f t="shared" si="5"/>
        <v>0.41654357459379615</v>
      </c>
    </row>
    <row r="152" spans="1:11" ht="14.5" x14ac:dyDescent="0.25">
      <c r="A152" s="4">
        <v>161</v>
      </c>
      <c r="B152" s="5" t="s">
        <v>24</v>
      </c>
      <c r="C152" s="5" t="s">
        <v>7</v>
      </c>
      <c r="D152" s="5" t="s">
        <v>169</v>
      </c>
      <c r="E152" s="5" t="s">
        <v>349</v>
      </c>
      <c r="F152" s="5">
        <f>IFERROR(VLOOKUP(B152,[1]Sheet1!A:B,2,0),0)</f>
        <v>0</v>
      </c>
      <c r="G152" s="5">
        <f>IFERROR(VLOOKUP(B152,[1]Sheet1!A:E,5,0),0)</f>
        <v>1</v>
      </c>
      <c r="H152" s="5">
        <f>IFERROR(VLOOKUP(B152,[1]Sheet1!A:E,4,0),0)</f>
        <v>166</v>
      </c>
      <c r="I152" s="5">
        <f t="shared" si="4"/>
        <v>167</v>
      </c>
      <c r="J152" s="5">
        <v>4426</v>
      </c>
      <c r="K152" s="6">
        <f t="shared" si="5"/>
        <v>0.45277903298689565</v>
      </c>
    </row>
    <row r="153" spans="1:11" ht="14.5" x14ac:dyDescent="0.25">
      <c r="A153" s="4">
        <v>162</v>
      </c>
      <c r="B153" s="5" t="s">
        <v>407</v>
      </c>
      <c r="C153" s="5" t="s">
        <v>403</v>
      </c>
      <c r="D153" s="5" t="s">
        <v>408</v>
      </c>
      <c r="E153" s="5" t="s">
        <v>349</v>
      </c>
      <c r="F153" s="5">
        <f>IFERROR(VLOOKUP(B153,[1]Sheet1!A:B,2,0),0)</f>
        <v>6</v>
      </c>
      <c r="G153" s="5">
        <f>IFERROR(VLOOKUP(B153,[1]Sheet1!A:E,5,0),0)</f>
        <v>0</v>
      </c>
      <c r="H153" s="5">
        <f>IFERROR(VLOOKUP(B153,[1]Sheet1!A:E,4,0),0)</f>
        <v>12</v>
      </c>
      <c r="I153" s="5">
        <f t="shared" si="4"/>
        <v>12</v>
      </c>
      <c r="J153" s="5">
        <v>158</v>
      </c>
      <c r="K153" s="6">
        <f t="shared" si="5"/>
        <v>0.91139240506329122</v>
      </c>
    </row>
    <row r="154" spans="1:11" ht="14.5" x14ac:dyDescent="0.25">
      <c r="A154" s="4">
        <v>163</v>
      </c>
      <c r="B154" s="5" t="s">
        <v>353</v>
      </c>
      <c r="C154" s="5" t="s">
        <v>7</v>
      </c>
      <c r="D154" s="5" t="s">
        <v>142</v>
      </c>
      <c r="E154" s="5" t="s">
        <v>145</v>
      </c>
      <c r="F154" s="5">
        <f>IFERROR(VLOOKUP(B154,[1]Sheet1!A:B,2,0),0)</f>
        <v>0</v>
      </c>
      <c r="G154" s="5">
        <f>IFERROR(VLOOKUP(B154,[1]Sheet1!A:E,5,0),0)</f>
        <v>0</v>
      </c>
      <c r="H154" s="5">
        <f>IFERROR(VLOOKUP(B154,[1]Sheet1!A:E,4,0),0)</f>
        <v>159</v>
      </c>
      <c r="I154" s="5">
        <f t="shared" si="4"/>
        <v>159</v>
      </c>
      <c r="J154" s="5">
        <v>3639</v>
      </c>
      <c r="K154" s="6">
        <f t="shared" si="5"/>
        <v>0.52431986809563069</v>
      </c>
    </row>
    <row r="155" spans="1:11" ht="14.5" x14ac:dyDescent="0.25">
      <c r="A155" s="4">
        <v>164</v>
      </c>
      <c r="B155" s="5" t="s">
        <v>143</v>
      </c>
      <c r="C155" s="5" t="s">
        <v>7</v>
      </c>
      <c r="D155" s="5" t="s">
        <v>144</v>
      </c>
      <c r="E155" s="5" t="s">
        <v>145</v>
      </c>
      <c r="F155" s="5">
        <f>IFERROR(VLOOKUP(B155,[1]Sheet1!A:B,2,0),0)</f>
        <v>0</v>
      </c>
      <c r="G155" s="5">
        <f>IFERROR(VLOOKUP(B155,[1]Sheet1!A:E,5,0),0)</f>
        <v>0</v>
      </c>
      <c r="H155" s="5">
        <f>IFERROR(VLOOKUP(B155,[1]Sheet1!A:E,4,0),0)</f>
        <v>7</v>
      </c>
      <c r="I155" s="5">
        <f t="shared" si="4"/>
        <v>7</v>
      </c>
      <c r="J155" s="5">
        <v>320</v>
      </c>
      <c r="K155" s="6">
        <f t="shared" si="5"/>
        <v>0.26250000000000001</v>
      </c>
    </row>
    <row r="156" spans="1:11" ht="14.5" x14ac:dyDescent="0.25">
      <c r="A156" s="4">
        <v>166</v>
      </c>
      <c r="B156" s="5" t="s">
        <v>130</v>
      </c>
      <c r="C156" s="5" t="s">
        <v>7</v>
      </c>
      <c r="D156" s="5" t="s">
        <v>409</v>
      </c>
      <c r="E156" s="5" t="s">
        <v>410</v>
      </c>
      <c r="F156" s="5">
        <f>IFERROR(VLOOKUP(B156,[1]Sheet1!A:B,2,0),0)</f>
        <v>0</v>
      </c>
      <c r="G156" s="5">
        <f>IFERROR(VLOOKUP(B156,[1]Sheet1!A:E,5,0),0)</f>
        <v>0</v>
      </c>
      <c r="H156" s="5">
        <f>IFERROR(VLOOKUP(B156,[1]Sheet1!A:E,4,0),0)</f>
        <v>91</v>
      </c>
      <c r="I156" s="5">
        <f t="shared" si="4"/>
        <v>91</v>
      </c>
      <c r="J156" s="5">
        <v>1879</v>
      </c>
      <c r="K156" s="6">
        <f t="shared" si="5"/>
        <v>0.58116019159127197</v>
      </c>
    </row>
    <row r="157" spans="1:11" ht="14.5" x14ac:dyDescent="0.25">
      <c r="A157" s="4">
        <v>167</v>
      </c>
      <c r="B157" s="5" t="s">
        <v>140</v>
      </c>
      <c r="C157" s="5" t="s">
        <v>7</v>
      </c>
      <c r="D157" s="5" t="s">
        <v>141</v>
      </c>
      <c r="E157" s="5" t="s">
        <v>145</v>
      </c>
      <c r="F157" s="5">
        <f>IFERROR(VLOOKUP(B157,[1]Sheet1!A:B,2,0),0)</f>
        <v>0</v>
      </c>
      <c r="G157" s="5">
        <f>IFERROR(VLOOKUP(B157,[1]Sheet1!A:E,5,0),0)</f>
        <v>0</v>
      </c>
      <c r="H157" s="5">
        <f>IFERROR(VLOOKUP(B157,[1]Sheet1!A:E,4,0),0)</f>
        <v>170</v>
      </c>
      <c r="I157" s="5">
        <f t="shared" si="4"/>
        <v>170</v>
      </c>
      <c r="J157" s="5">
        <v>3862</v>
      </c>
      <c r="K157" s="6">
        <f t="shared" si="5"/>
        <v>0.5282237182806836</v>
      </c>
    </row>
    <row r="158" spans="1:11" ht="14.5" x14ac:dyDescent="0.25">
      <c r="A158" s="4">
        <v>168</v>
      </c>
      <c r="B158" s="5" t="s">
        <v>69</v>
      </c>
      <c r="C158" s="5" t="s">
        <v>7</v>
      </c>
      <c r="D158" s="5" t="s">
        <v>149</v>
      </c>
      <c r="E158" s="5" t="s">
        <v>145</v>
      </c>
      <c r="F158" s="5">
        <f>IFERROR(VLOOKUP(B158,[1]Sheet1!A:B,2,0),0)</f>
        <v>0</v>
      </c>
      <c r="G158" s="5">
        <f>IFERROR(VLOOKUP(B158,[1]Sheet1!A:E,5,0),0)</f>
        <v>0</v>
      </c>
      <c r="H158" s="5">
        <f>IFERROR(VLOOKUP(B158,[1]Sheet1!A:E,4,0),0)</f>
        <v>125</v>
      </c>
      <c r="I158" s="5">
        <f t="shared" si="4"/>
        <v>125</v>
      </c>
      <c r="J158" s="5">
        <v>3331</v>
      </c>
      <c r="K158" s="6">
        <f t="shared" si="5"/>
        <v>0.45031522065445817</v>
      </c>
    </row>
    <row r="159" spans="1:11" ht="14.5" x14ac:dyDescent="0.25">
      <c r="A159" s="4">
        <v>169</v>
      </c>
      <c r="B159" s="5" t="s">
        <v>105</v>
      </c>
      <c r="C159" s="5" t="s">
        <v>7</v>
      </c>
      <c r="D159" s="5" t="s">
        <v>150</v>
      </c>
      <c r="E159" s="5" t="s">
        <v>145</v>
      </c>
      <c r="F159" s="5">
        <f>IFERROR(VLOOKUP(B159,[1]Sheet1!A:B,2,0),0)</f>
        <v>0</v>
      </c>
      <c r="G159" s="5">
        <f>IFERROR(VLOOKUP(B159,[1]Sheet1!A:E,5,0),0)</f>
        <v>0</v>
      </c>
      <c r="H159" s="5">
        <f>IFERROR(VLOOKUP(B159,[1]Sheet1!A:E,4,0),0)</f>
        <v>241</v>
      </c>
      <c r="I159" s="5">
        <f t="shared" si="4"/>
        <v>241</v>
      </c>
      <c r="J159" s="5">
        <v>6632</v>
      </c>
      <c r="K159" s="6">
        <f t="shared" si="5"/>
        <v>0.43606755126658625</v>
      </c>
    </row>
    <row r="160" spans="1:11" ht="14.5" x14ac:dyDescent="0.25">
      <c r="A160" s="4">
        <v>170</v>
      </c>
      <c r="B160" s="5" t="s">
        <v>64</v>
      </c>
      <c r="C160" s="5" t="s">
        <v>7</v>
      </c>
      <c r="D160" s="5" t="s">
        <v>146</v>
      </c>
      <c r="E160" s="5" t="s">
        <v>145</v>
      </c>
      <c r="F160" s="5">
        <f>IFERROR(VLOOKUP(B160,[1]Sheet1!A:B,2,0),0)</f>
        <v>0</v>
      </c>
      <c r="G160" s="5">
        <f>IFERROR(VLOOKUP(B160,[1]Sheet1!A:E,5,0),0)</f>
        <v>0</v>
      </c>
      <c r="H160" s="5">
        <f>IFERROR(VLOOKUP(B160,[1]Sheet1!A:E,4,0),0)</f>
        <v>65</v>
      </c>
      <c r="I160" s="5">
        <f>G160+H160</f>
        <v>65</v>
      </c>
      <c r="J160" s="5">
        <v>1435</v>
      </c>
      <c r="K160" s="6">
        <f>I160/(J160/12)</f>
        <v>0.54355400696864109</v>
      </c>
    </row>
    <row r="161" spans="1:11" ht="14.5" x14ac:dyDescent="0.25">
      <c r="A161" s="4">
        <v>171</v>
      </c>
      <c r="B161" s="5" t="s">
        <v>147</v>
      </c>
      <c r="C161" s="5" t="s">
        <v>7</v>
      </c>
      <c r="D161" s="5" t="s">
        <v>148</v>
      </c>
      <c r="E161" s="5" t="s">
        <v>145</v>
      </c>
      <c r="F161" s="5">
        <f>IFERROR(VLOOKUP(B161,[1]Sheet1!A:B,2,0),0)</f>
        <v>0</v>
      </c>
      <c r="G161" s="5">
        <f>IFERROR(VLOOKUP(B161,[1]Sheet1!A:E,5,0),0)</f>
        <v>0</v>
      </c>
      <c r="H161" s="5">
        <f>IFERROR(VLOOKUP(B161,[1]Sheet1!A:E,4,0),0)</f>
        <v>0</v>
      </c>
      <c r="I161" s="5">
        <f>G161+H161</f>
        <v>0</v>
      </c>
      <c r="J161" s="5">
        <v>192</v>
      </c>
      <c r="K161" s="6">
        <f>I161/(J161/12)</f>
        <v>0</v>
      </c>
    </row>
    <row r="162" spans="1:11" ht="14.5" x14ac:dyDescent="0.25">
      <c r="A162" s="4">
        <v>172</v>
      </c>
      <c r="B162" s="5" t="s">
        <v>101</v>
      </c>
      <c r="C162" s="5" t="s">
        <v>16</v>
      </c>
      <c r="D162" s="5" t="s">
        <v>331</v>
      </c>
      <c r="E162" s="5" t="s">
        <v>354</v>
      </c>
      <c r="F162" s="5">
        <f>IFERROR(VLOOKUP(B162,[1]Sheet1!A:B,2,0),0)</f>
        <v>0</v>
      </c>
      <c r="G162" s="5">
        <f>IFERROR(VLOOKUP(B162,[1]Sheet1!A:E,5,0),0)</f>
        <v>0</v>
      </c>
      <c r="H162" s="5">
        <f>IFERROR(VLOOKUP(B162,[1]Sheet1!A:E,4,0),0)</f>
        <v>93</v>
      </c>
      <c r="I162" s="5">
        <f t="shared" si="4"/>
        <v>93</v>
      </c>
      <c r="J162" s="5">
        <v>2107</v>
      </c>
      <c r="K162" s="6">
        <f t="shared" si="5"/>
        <v>0.52966302800189835</v>
      </c>
    </row>
    <row r="163" spans="1:11" ht="14.5" x14ac:dyDescent="0.25">
      <c r="A163" s="4">
        <v>173</v>
      </c>
      <c r="B163" s="5" t="s">
        <v>333</v>
      </c>
      <c r="C163" s="5" t="s">
        <v>16</v>
      </c>
      <c r="D163" s="5" t="s">
        <v>334</v>
      </c>
      <c r="E163" s="5" t="s">
        <v>354</v>
      </c>
      <c r="F163" s="5">
        <f>IFERROR(VLOOKUP(B163,[1]Sheet1!A:B,2,0),0)</f>
        <v>0</v>
      </c>
      <c r="G163" s="5">
        <f>IFERROR(VLOOKUP(B163,[1]Sheet1!A:E,5,0),0)</f>
        <v>0</v>
      </c>
      <c r="H163" s="5">
        <f>IFERROR(VLOOKUP(B163,[1]Sheet1!A:E,4,0),0)</f>
        <v>181</v>
      </c>
      <c r="I163" s="5">
        <f t="shared" si="4"/>
        <v>181</v>
      </c>
      <c r="J163" s="5">
        <v>4675</v>
      </c>
      <c r="K163" s="6">
        <f t="shared" si="5"/>
        <v>0.46459893048128342</v>
      </c>
    </row>
    <row r="164" spans="1:11" ht="14.5" x14ac:dyDescent="0.25">
      <c r="A164" s="4">
        <v>174</v>
      </c>
      <c r="B164" s="5" t="s">
        <v>54</v>
      </c>
      <c r="C164" s="5" t="s">
        <v>16</v>
      </c>
      <c r="D164" s="5" t="s">
        <v>335</v>
      </c>
      <c r="E164" s="5" t="s">
        <v>354</v>
      </c>
      <c r="F164" s="5">
        <f>IFERROR(VLOOKUP(B164,[1]Sheet1!A:B,2,0),0)</f>
        <v>0</v>
      </c>
      <c r="G164" s="5">
        <f>IFERROR(VLOOKUP(B164,[1]Sheet1!A:E,5,0),0)</f>
        <v>11</v>
      </c>
      <c r="H164" s="5">
        <f>IFERROR(VLOOKUP(B164,[1]Sheet1!A:E,4,0),0)</f>
        <v>139</v>
      </c>
      <c r="I164" s="5">
        <f t="shared" si="4"/>
        <v>150</v>
      </c>
      <c r="J164" s="5">
        <v>3354</v>
      </c>
      <c r="K164" s="6">
        <f t="shared" si="5"/>
        <v>0.53667262969588547</v>
      </c>
    </row>
    <row r="165" spans="1:11" ht="14.5" x14ac:dyDescent="0.25">
      <c r="A165" s="4">
        <v>175</v>
      </c>
      <c r="B165" s="5" t="s">
        <v>104</v>
      </c>
      <c r="C165" s="5" t="s">
        <v>16</v>
      </c>
      <c r="D165" s="5" t="s">
        <v>336</v>
      </c>
      <c r="E165" s="5" t="s">
        <v>354</v>
      </c>
      <c r="F165" s="5">
        <f>IFERROR(VLOOKUP(B165,[1]Sheet1!A:B,2,0),0)</f>
        <v>0</v>
      </c>
      <c r="G165" s="5">
        <f>IFERROR(VLOOKUP(B165,[1]Sheet1!A:E,5,0),0)</f>
        <v>6</v>
      </c>
      <c r="H165" s="5">
        <f>IFERROR(VLOOKUP(B165,[1]Sheet1!A:E,4,0),0)</f>
        <v>42</v>
      </c>
      <c r="I165" s="5">
        <f t="shared" si="4"/>
        <v>48</v>
      </c>
      <c r="J165" s="5">
        <v>1085</v>
      </c>
      <c r="K165" s="6">
        <f t="shared" si="5"/>
        <v>0.5308755760368663</v>
      </c>
    </row>
    <row r="166" spans="1:11" ht="14.5" x14ac:dyDescent="0.25">
      <c r="A166" s="4">
        <v>176</v>
      </c>
      <c r="B166" s="5" t="s">
        <v>38</v>
      </c>
      <c r="C166" s="5" t="s">
        <v>16</v>
      </c>
      <c r="D166" s="5" t="s">
        <v>337</v>
      </c>
      <c r="E166" s="5" t="s">
        <v>354</v>
      </c>
      <c r="F166" s="5">
        <f>IFERROR(VLOOKUP(B166,[1]Sheet1!A:B,2,0),0)</f>
        <v>0</v>
      </c>
      <c r="G166" s="5">
        <f>IFERROR(VLOOKUP(B166,[1]Sheet1!A:E,5,0),0)</f>
        <v>41</v>
      </c>
      <c r="H166" s="5">
        <f>IFERROR(VLOOKUP(B166,[1]Sheet1!A:E,4,0),0)</f>
        <v>65</v>
      </c>
      <c r="I166" s="5">
        <f t="shared" si="4"/>
        <v>106</v>
      </c>
      <c r="J166" s="5">
        <v>2765</v>
      </c>
      <c r="K166" s="6">
        <f t="shared" si="5"/>
        <v>0.46003616636528033</v>
      </c>
    </row>
    <row r="167" spans="1:11" ht="14.5" x14ac:dyDescent="0.25">
      <c r="A167" s="4">
        <v>177</v>
      </c>
      <c r="B167" s="5" t="s">
        <v>111</v>
      </c>
      <c r="C167" s="5" t="s">
        <v>16</v>
      </c>
      <c r="D167" s="5" t="s">
        <v>338</v>
      </c>
      <c r="E167" s="5" t="s">
        <v>354</v>
      </c>
      <c r="F167" s="5">
        <f>IFERROR(VLOOKUP(B167,[1]Sheet1!A:B,2,0),0)</f>
        <v>0</v>
      </c>
      <c r="G167" s="5">
        <f>IFERROR(VLOOKUP(B167,[1]Sheet1!A:E,5,0),0)</f>
        <v>37</v>
      </c>
      <c r="H167" s="5">
        <f>IFERROR(VLOOKUP(B167,[1]Sheet1!A:E,4,0),0)</f>
        <v>86</v>
      </c>
      <c r="I167" s="5">
        <f t="shared" si="4"/>
        <v>123</v>
      </c>
      <c r="J167" s="5">
        <v>3108</v>
      </c>
      <c r="K167" s="6">
        <f t="shared" si="5"/>
        <v>0.4749034749034749</v>
      </c>
    </row>
    <row r="168" spans="1:11" ht="14.5" x14ac:dyDescent="0.25">
      <c r="A168" s="4">
        <v>178</v>
      </c>
      <c r="B168" s="5" t="s">
        <v>25</v>
      </c>
      <c r="C168" s="5" t="s">
        <v>16</v>
      </c>
      <c r="D168" s="5" t="s">
        <v>325</v>
      </c>
      <c r="E168" s="5" t="s">
        <v>354</v>
      </c>
      <c r="F168" s="5">
        <f>IFERROR(VLOOKUP(B168,[1]Sheet1!A:B,2,0),0)</f>
        <v>0</v>
      </c>
      <c r="G168" s="5">
        <f>IFERROR(VLOOKUP(B168,[1]Sheet1!A:E,5,0),0)</f>
        <v>47</v>
      </c>
      <c r="H168" s="5">
        <f>IFERROR(VLOOKUP(B168,[1]Sheet1!A:E,4,0),0)</f>
        <v>63</v>
      </c>
      <c r="I168" s="5">
        <f t="shared" si="4"/>
        <v>110</v>
      </c>
      <c r="J168" s="5">
        <v>1635</v>
      </c>
      <c r="K168" s="6">
        <f t="shared" si="5"/>
        <v>0.80733944954128445</v>
      </c>
    </row>
    <row r="169" spans="1:11" ht="14.5" x14ac:dyDescent="0.25">
      <c r="A169" s="4">
        <v>179</v>
      </c>
      <c r="B169" s="5" t="s">
        <v>326</v>
      </c>
      <c r="C169" s="5" t="s">
        <v>16</v>
      </c>
      <c r="D169" s="5" t="s">
        <v>327</v>
      </c>
      <c r="E169" s="5" t="s">
        <v>354</v>
      </c>
      <c r="F169" s="5">
        <f>IFERROR(VLOOKUP(B169,[1]Sheet1!A:B,2,0),0)</f>
        <v>0</v>
      </c>
      <c r="G169" s="5">
        <f>IFERROR(VLOOKUP(B169,[1]Sheet1!A:E,5,0),0)</f>
        <v>0</v>
      </c>
      <c r="H169" s="5">
        <f>IFERROR(VLOOKUP(B169,[1]Sheet1!A:E,4,0),0)</f>
        <v>10</v>
      </c>
      <c r="I169" s="5">
        <f t="shared" ref="I169:I205" si="6">G169+H169</f>
        <v>10</v>
      </c>
      <c r="J169" s="5">
        <v>835</v>
      </c>
      <c r="K169" s="6">
        <f t="shared" ref="K169:K213" si="7">I169/(J169/12)</f>
        <v>0.14371257485029942</v>
      </c>
    </row>
    <row r="170" spans="1:11" ht="14.5" x14ac:dyDescent="0.25">
      <c r="A170" s="4">
        <v>180</v>
      </c>
      <c r="B170" s="5" t="s">
        <v>122</v>
      </c>
      <c r="C170" s="5" t="s">
        <v>16</v>
      </c>
      <c r="D170" s="5" t="s">
        <v>328</v>
      </c>
      <c r="E170" s="5" t="s">
        <v>354</v>
      </c>
      <c r="F170" s="5">
        <f>IFERROR(VLOOKUP(B170,[1]Sheet1!A:B,2,0),0)</f>
        <v>0</v>
      </c>
      <c r="G170" s="5">
        <f>IFERROR(VLOOKUP(B170,[1]Sheet1!A:E,5,0),0)</f>
        <v>2</v>
      </c>
      <c r="H170" s="5">
        <f>IFERROR(VLOOKUP(B170,[1]Sheet1!A:E,4,0),0)</f>
        <v>29</v>
      </c>
      <c r="I170" s="5">
        <f t="shared" si="6"/>
        <v>31</v>
      </c>
      <c r="J170" s="5">
        <v>762</v>
      </c>
      <c r="K170" s="6">
        <f t="shared" si="7"/>
        <v>0.48818897637795278</v>
      </c>
    </row>
    <row r="171" spans="1:11" ht="14.5" x14ac:dyDescent="0.25">
      <c r="A171" s="4">
        <v>181</v>
      </c>
      <c r="B171" s="5" t="s">
        <v>93</v>
      </c>
      <c r="C171" s="5" t="s">
        <v>16</v>
      </c>
      <c r="D171" s="5" t="s">
        <v>411</v>
      </c>
      <c r="E171" s="5" t="s">
        <v>354</v>
      </c>
      <c r="F171" s="5">
        <f>IFERROR(VLOOKUP(B171,[1]Sheet1!A:B,2,0),0)</f>
        <v>0</v>
      </c>
      <c r="G171" s="5">
        <f>IFERROR(VLOOKUP(B171,[1]Sheet1!A:E,5,0),0)</f>
        <v>17</v>
      </c>
      <c r="H171" s="5">
        <f>IFERROR(VLOOKUP(B171,[1]Sheet1!A:E,4,0),0)</f>
        <v>47</v>
      </c>
      <c r="I171" s="5">
        <f t="shared" si="6"/>
        <v>64</v>
      </c>
      <c r="J171" s="5">
        <v>1482</v>
      </c>
      <c r="K171" s="6">
        <f t="shared" si="7"/>
        <v>0.51821862348178138</v>
      </c>
    </row>
    <row r="172" spans="1:11" ht="14.5" x14ac:dyDescent="0.25">
      <c r="A172" s="4">
        <v>183</v>
      </c>
      <c r="B172" s="5" t="s">
        <v>412</v>
      </c>
      <c r="C172" s="5" t="s">
        <v>413</v>
      </c>
      <c r="D172" s="5" t="s">
        <v>414</v>
      </c>
      <c r="E172" s="5" t="s">
        <v>354</v>
      </c>
      <c r="F172" s="5">
        <f>IFERROR(VLOOKUP(B172,[1]Sheet1!A:B,2,0),0)</f>
        <v>0</v>
      </c>
      <c r="G172" s="5">
        <f>IFERROR(VLOOKUP(B172,[1]Sheet1!A:E,5,0),0)</f>
        <v>0</v>
      </c>
      <c r="H172" s="5">
        <f>IFERROR(VLOOKUP(B172,[1]Sheet1!A:E,4,0),0)</f>
        <v>49</v>
      </c>
      <c r="I172" s="5">
        <f t="shared" si="6"/>
        <v>49</v>
      </c>
      <c r="J172" s="5">
        <v>1286</v>
      </c>
      <c r="K172" s="6">
        <f t="shared" si="7"/>
        <v>0.4572317262830482</v>
      </c>
    </row>
    <row r="173" spans="1:11" ht="14.5" x14ac:dyDescent="0.25">
      <c r="A173" s="4">
        <v>184</v>
      </c>
      <c r="B173" s="5" t="s">
        <v>94</v>
      </c>
      <c r="C173" s="5" t="s">
        <v>16</v>
      </c>
      <c r="D173" s="5" t="s">
        <v>324</v>
      </c>
      <c r="E173" s="5" t="s">
        <v>346</v>
      </c>
      <c r="F173" s="5">
        <f>IFERROR(VLOOKUP(B173,[1]Sheet1!A:B,2,0),0)</f>
        <v>0</v>
      </c>
      <c r="G173" s="5">
        <f>IFERROR(VLOOKUP(B173,[1]Sheet1!A:E,5,0),0)</f>
        <v>35</v>
      </c>
      <c r="H173" s="5">
        <f>IFERROR(VLOOKUP(B173,[1]Sheet1!A:E,4,0),0)</f>
        <v>47</v>
      </c>
      <c r="I173" s="5">
        <f t="shared" si="6"/>
        <v>82</v>
      </c>
      <c r="J173" s="5">
        <v>1710</v>
      </c>
      <c r="K173" s="6">
        <f t="shared" si="7"/>
        <v>0.57543859649122808</v>
      </c>
    </row>
    <row r="174" spans="1:11" ht="14.5" x14ac:dyDescent="0.25">
      <c r="A174" s="4">
        <v>185</v>
      </c>
      <c r="B174" s="5" t="s">
        <v>46</v>
      </c>
      <c r="C174" s="5" t="s">
        <v>16</v>
      </c>
      <c r="D174" s="5" t="s">
        <v>332</v>
      </c>
      <c r="E174" s="5" t="s">
        <v>346</v>
      </c>
      <c r="F174" s="5">
        <f>IFERROR(VLOOKUP(B174,[1]Sheet1!A:B,2,0),0)</f>
        <v>0</v>
      </c>
      <c r="G174" s="5">
        <f>IFERROR(VLOOKUP(B174,[1]Sheet1!A:E,5,0),0)</f>
        <v>12</v>
      </c>
      <c r="H174" s="5">
        <f>IFERROR(VLOOKUP(B174,[1]Sheet1!A:E,4,0),0)</f>
        <v>72</v>
      </c>
      <c r="I174" s="5">
        <f t="shared" si="6"/>
        <v>84</v>
      </c>
      <c r="J174" s="5">
        <v>2371</v>
      </c>
      <c r="K174" s="6">
        <f t="shared" si="7"/>
        <v>0.42513707296499365</v>
      </c>
    </row>
    <row r="175" spans="1:11" ht="14.5" x14ac:dyDescent="0.25">
      <c r="A175" s="4">
        <v>186</v>
      </c>
      <c r="B175" s="5" t="s">
        <v>75</v>
      </c>
      <c r="C175" s="5" t="s">
        <v>16</v>
      </c>
      <c r="D175" s="5" t="s">
        <v>348</v>
      </c>
      <c r="E175" s="5" t="s">
        <v>346</v>
      </c>
      <c r="F175" s="5">
        <f>IFERROR(VLOOKUP(B175,[1]Sheet1!A:B,2,0),0)</f>
        <v>0</v>
      </c>
      <c r="G175" s="5">
        <f>IFERROR(VLOOKUP(B175,[1]Sheet1!A:E,5,0),0)</f>
        <v>0</v>
      </c>
      <c r="H175" s="5">
        <f>IFERROR(VLOOKUP(B175,[1]Sheet1!A:E,4,0),0)</f>
        <v>71</v>
      </c>
      <c r="I175" s="5">
        <f t="shared" si="6"/>
        <v>71</v>
      </c>
      <c r="J175" s="5">
        <v>1632</v>
      </c>
      <c r="K175" s="6">
        <f t="shared" si="7"/>
        <v>0.5220588235294118</v>
      </c>
    </row>
    <row r="176" spans="1:11" s="9" customFormat="1" ht="14.5" x14ac:dyDescent="0.25">
      <c r="A176" s="4">
        <v>187</v>
      </c>
      <c r="B176" s="5" t="s">
        <v>92</v>
      </c>
      <c r="C176" s="5" t="s">
        <v>16</v>
      </c>
      <c r="D176" s="5" t="s">
        <v>339</v>
      </c>
      <c r="E176" s="5" t="s">
        <v>346</v>
      </c>
      <c r="F176" s="5">
        <f>IFERROR(VLOOKUP(B176,[1]Sheet1!A:B,2,0),0)</f>
        <v>9</v>
      </c>
      <c r="G176" s="5">
        <f>IFERROR(VLOOKUP(B176,[1]Sheet1!A:E,5,0),0)</f>
        <v>9</v>
      </c>
      <c r="H176" s="5">
        <f>IFERROR(VLOOKUP(B176,[1]Sheet1!A:E,4,0),0)</f>
        <v>112</v>
      </c>
      <c r="I176" s="5">
        <f t="shared" si="6"/>
        <v>121</v>
      </c>
      <c r="J176" s="5">
        <v>2958</v>
      </c>
      <c r="K176" s="6">
        <f t="shared" si="7"/>
        <v>0.49087221095334688</v>
      </c>
    </row>
    <row r="177" spans="1:11" ht="14.5" x14ac:dyDescent="0.25">
      <c r="A177" s="4">
        <v>188</v>
      </c>
      <c r="B177" s="5" t="s">
        <v>340</v>
      </c>
      <c r="C177" s="5" t="s">
        <v>16</v>
      </c>
      <c r="D177" s="5" t="s">
        <v>341</v>
      </c>
      <c r="E177" s="5" t="s">
        <v>346</v>
      </c>
      <c r="F177" s="5">
        <f>IFERROR(VLOOKUP(B177,[1]Sheet1!A:B,2,0),0)</f>
        <v>0</v>
      </c>
      <c r="G177" s="5">
        <f>IFERROR(VLOOKUP(B177,[1]Sheet1!A:E,5,0),0)</f>
        <v>0</v>
      </c>
      <c r="H177" s="5">
        <f>IFERROR(VLOOKUP(B177,[1]Sheet1!A:E,4,0),0)</f>
        <v>54</v>
      </c>
      <c r="I177" s="5">
        <f t="shared" si="6"/>
        <v>54</v>
      </c>
      <c r="J177" s="5">
        <v>1789</v>
      </c>
      <c r="K177" s="6">
        <f t="shared" si="7"/>
        <v>0.36221352711011734</v>
      </c>
    </row>
    <row r="178" spans="1:11" ht="14.5" x14ac:dyDescent="0.25">
      <c r="A178" s="4">
        <v>190</v>
      </c>
      <c r="B178" s="5" t="s">
        <v>415</v>
      </c>
      <c r="C178" s="5" t="s">
        <v>16</v>
      </c>
      <c r="D178" s="5" t="s">
        <v>416</v>
      </c>
      <c r="E178" s="5" t="s">
        <v>346</v>
      </c>
      <c r="F178" s="5">
        <f>IFERROR(VLOOKUP(B178,[1]Sheet1!A:B,2,0),0)</f>
        <v>0</v>
      </c>
      <c r="G178" s="5">
        <f>IFERROR(VLOOKUP(B178,[1]Sheet1!A:E,5,0),0)</f>
        <v>24</v>
      </c>
      <c r="H178" s="5">
        <f>IFERROR(VLOOKUP(B178,[1]Sheet1!A:E,4,0),0)</f>
        <v>99</v>
      </c>
      <c r="I178" s="5">
        <f t="shared" si="6"/>
        <v>123</v>
      </c>
      <c r="J178" s="5">
        <v>4048</v>
      </c>
      <c r="K178" s="6">
        <f t="shared" si="7"/>
        <v>0.36462450592885376</v>
      </c>
    </row>
    <row r="179" spans="1:11" ht="14.5" x14ac:dyDescent="0.25">
      <c r="A179" s="4">
        <v>191</v>
      </c>
      <c r="B179" s="5" t="s">
        <v>417</v>
      </c>
      <c r="C179" s="5" t="s">
        <v>16</v>
      </c>
      <c r="D179" s="5" t="s">
        <v>418</v>
      </c>
      <c r="E179" s="5" t="s">
        <v>346</v>
      </c>
      <c r="F179" s="5">
        <f>IFERROR(VLOOKUP(B179,[1]Sheet1!A:B,2,0),0)</f>
        <v>1</v>
      </c>
      <c r="G179" s="5">
        <f>IFERROR(VLOOKUP(B179,[1]Sheet1!A:E,5,0),0)</f>
        <v>12</v>
      </c>
      <c r="H179" s="5">
        <f>IFERROR(VLOOKUP(B179,[1]Sheet1!A:E,4,0),0)</f>
        <v>50</v>
      </c>
      <c r="I179" s="5">
        <f t="shared" si="6"/>
        <v>62</v>
      </c>
      <c r="J179" s="5">
        <v>1688</v>
      </c>
      <c r="K179" s="6">
        <f t="shared" si="7"/>
        <v>0.44075829383886261</v>
      </c>
    </row>
    <row r="180" spans="1:11" ht="14.5" x14ac:dyDescent="0.25">
      <c r="A180" s="4">
        <v>192</v>
      </c>
      <c r="B180" s="5" t="s">
        <v>419</v>
      </c>
      <c r="C180" s="5" t="s">
        <v>16</v>
      </c>
      <c r="D180" s="5" t="s">
        <v>420</v>
      </c>
      <c r="E180" s="5" t="s">
        <v>346</v>
      </c>
      <c r="F180" s="5">
        <f>IFERROR(VLOOKUP(B180,[1]Sheet1!A:B,2,0),0)</f>
        <v>0</v>
      </c>
      <c r="G180" s="5">
        <f>IFERROR(VLOOKUP(B180,[1]Sheet1!A:E,5,0),0)</f>
        <v>0</v>
      </c>
      <c r="H180" s="5">
        <f>IFERROR(VLOOKUP(B180,[1]Sheet1!A:E,4,0),0)</f>
        <v>29</v>
      </c>
      <c r="I180" s="5">
        <f t="shared" si="6"/>
        <v>29</v>
      </c>
      <c r="J180" s="5">
        <v>909</v>
      </c>
      <c r="K180" s="6">
        <f t="shared" si="7"/>
        <v>0.38283828382838286</v>
      </c>
    </row>
    <row r="181" spans="1:11" ht="14.5" x14ac:dyDescent="0.25">
      <c r="A181" s="4">
        <v>193</v>
      </c>
      <c r="B181" s="5" t="s">
        <v>421</v>
      </c>
      <c r="C181" s="5" t="s">
        <v>16</v>
      </c>
      <c r="D181" s="5" t="s">
        <v>422</v>
      </c>
      <c r="E181" s="5" t="s">
        <v>346</v>
      </c>
      <c r="F181" s="5">
        <f>IFERROR(VLOOKUP(B181,[1]Sheet1!A:B,2,0),0)</f>
        <v>1</v>
      </c>
      <c r="G181" s="5">
        <f>IFERROR(VLOOKUP(B181,[1]Sheet1!A:E,5,0),0)</f>
        <v>1</v>
      </c>
      <c r="H181" s="5">
        <f>IFERROR(VLOOKUP(B181,[1]Sheet1!A:E,4,0),0)</f>
        <v>56</v>
      </c>
      <c r="I181" s="5">
        <f t="shared" si="6"/>
        <v>57</v>
      </c>
      <c r="J181" s="5">
        <v>1502</v>
      </c>
      <c r="K181" s="6">
        <f t="shared" si="7"/>
        <v>0.45539280958721701</v>
      </c>
    </row>
    <row r="182" spans="1:11" ht="14.5" x14ac:dyDescent="0.25">
      <c r="A182" s="4">
        <v>195</v>
      </c>
      <c r="B182" s="5" t="s">
        <v>423</v>
      </c>
      <c r="C182" s="5" t="s">
        <v>16</v>
      </c>
      <c r="D182" s="5" t="s">
        <v>424</v>
      </c>
      <c r="E182" s="5" t="s">
        <v>346</v>
      </c>
      <c r="F182" s="5">
        <f>IFERROR(VLOOKUP(B182,[1]Sheet1!A:B,2,0),0)</f>
        <v>4</v>
      </c>
      <c r="G182" s="5">
        <f>IFERROR(VLOOKUP(B182,[1]Sheet1!A:E,5,0),0)</f>
        <v>0</v>
      </c>
      <c r="H182" s="5">
        <f>IFERROR(VLOOKUP(B182,[1]Sheet1!A:E,4,0),0)</f>
        <v>78</v>
      </c>
      <c r="I182" s="5">
        <f t="shared" si="6"/>
        <v>78</v>
      </c>
      <c r="J182" s="5">
        <v>1989</v>
      </c>
      <c r="K182" s="6">
        <f t="shared" si="7"/>
        <v>0.47058823529411764</v>
      </c>
    </row>
    <row r="183" spans="1:11" ht="14.5" x14ac:dyDescent="0.25">
      <c r="A183" s="4">
        <v>196</v>
      </c>
      <c r="B183" s="5" t="s">
        <v>425</v>
      </c>
      <c r="C183" s="5" t="s">
        <v>16</v>
      </c>
      <c r="D183" s="5" t="s">
        <v>426</v>
      </c>
      <c r="E183" s="5" t="s">
        <v>346</v>
      </c>
      <c r="F183" s="5">
        <f>IFERROR(VLOOKUP(B183,[1]Sheet1!A:B,2,0),0)</f>
        <v>0</v>
      </c>
      <c r="G183" s="5">
        <f>IFERROR(VLOOKUP(B183,[1]Sheet1!A:E,5,0),0)</f>
        <v>2</v>
      </c>
      <c r="H183" s="5">
        <f>IFERROR(VLOOKUP(B183,[1]Sheet1!A:E,4,0),0)</f>
        <v>35</v>
      </c>
      <c r="I183" s="5">
        <f t="shared" si="6"/>
        <v>37</v>
      </c>
      <c r="J183" s="5">
        <v>2091</v>
      </c>
      <c r="K183" s="6">
        <f t="shared" si="7"/>
        <v>0.21233859397417504</v>
      </c>
    </row>
    <row r="184" spans="1:11" ht="14.5" x14ac:dyDescent="0.25">
      <c r="A184" s="4">
        <v>197</v>
      </c>
      <c r="B184" s="5" t="s">
        <v>427</v>
      </c>
      <c r="C184" s="5" t="s">
        <v>16</v>
      </c>
      <c r="D184" s="5" t="s">
        <v>428</v>
      </c>
      <c r="E184" s="5" t="s">
        <v>345</v>
      </c>
      <c r="F184" s="5">
        <f>IFERROR(VLOOKUP(B184,[1]Sheet1!A:B,2,0),0)</f>
        <v>0</v>
      </c>
      <c r="G184" s="5">
        <f>IFERROR(VLOOKUP(B184,[1]Sheet1!A:E,5,0),0)</f>
        <v>0</v>
      </c>
      <c r="H184" s="5">
        <f>IFERROR(VLOOKUP(B184,[1]Sheet1!A:E,4,0),0)</f>
        <v>43</v>
      </c>
      <c r="I184" s="5">
        <f t="shared" si="6"/>
        <v>43</v>
      </c>
      <c r="J184" s="5">
        <v>1695</v>
      </c>
      <c r="K184" s="6">
        <f t="shared" si="7"/>
        <v>0.30442477876106194</v>
      </c>
    </row>
    <row r="185" spans="1:11" ht="14.5" x14ac:dyDescent="0.25">
      <c r="A185" s="4">
        <v>198</v>
      </c>
      <c r="B185" s="5" t="s">
        <v>429</v>
      </c>
      <c r="C185" s="5" t="s">
        <v>16</v>
      </c>
      <c r="D185" s="5" t="s">
        <v>430</v>
      </c>
      <c r="E185" s="5" t="s">
        <v>345</v>
      </c>
      <c r="F185" s="5">
        <f>IFERROR(VLOOKUP(B185,[1]Sheet1!A:B,2,0),0)</f>
        <v>0</v>
      </c>
      <c r="G185" s="5">
        <f>IFERROR(VLOOKUP(B185,[1]Sheet1!A:E,5,0),0)</f>
        <v>0</v>
      </c>
      <c r="H185" s="5">
        <f>IFERROR(VLOOKUP(B185,[1]Sheet1!A:E,4,0),0)</f>
        <v>186</v>
      </c>
      <c r="I185" s="5">
        <f t="shared" si="6"/>
        <v>186</v>
      </c>
      <c r="J185" s="5">
        <v>4964</v>
      </c>
      <c r="K185" s="6">
        <f t="shared" si="7"/>
        <v>0.44963738920225621</v>
      </c>
    </row>
    <row r="186" spans="1:11" ht="14.5" x14ac:dyDescent="0.25">
      <c r="A186" s="4">
        <v>199</v>
      </c>
      <c r="B186" s="5" t="s">
        <v>431</v>
      </c>
      <c r="C186" s="5" t="s">
        <v>16</v>
      </c>
      <c r="D186" s="5" t="s">
        <v>432</v>
      </c>
      <c r="E186" s="5" t="s">
        <v>345</v>
      </c>
      <c r="F186" s="5">
        <f>IFERROR(VLOOKUP(B186,[1]Sheet1!A:B,2,0),0)</f>
        <v>0</v>
      </c>
      <c r="G186" s="5">
        <f>IFERROR(VLOOKUP(B186,[1]Sheet1!A:E,5,0),0)</f>
        <v>0</v>
      </c>
      <c r="H186" s="5">
        <f>IFERROR(VLOOKUP(B186,[1]Sheet1!A:E,4,0),0)</f>
        <v>60</v>
      </c>
      <c r="I186" s="5">
        <f t="shared" si="6"/>
        <v>60</v>
      </c>
      <c r="J186" s="5">
        <v>1531</v>
      </c>
      <c r="K186" s="6">
        <f t="shared" si="7"/>
        <v>0.47028086218158066</v>
      </c>
    </row>
    <row r="187" spans="1:11" ht="14.5" x14ac:dyDescent="0.25">
      <c r="A187" s="4">
        <v>201</v>
      </c>
      <c r="B187" s="5" t="s">
        <v>17</v>
      </c>
      <c r="C187" s="5" t="s">
        <v>16</v>
      </c>
      <c r="D187" s="5" t="s">
        <v>342</v>
      </c>
      <c r="E187" s="5" t="s">
        <v>345</v>
      </c>
      <c r="F187" s="5">
        <f>IFERROR(VLOOKUP(B187,[1]Sheet1!A:B,2,0),0)</f>
        <v>0</v>
      </c>
      <c r="G187" s="5">
        <f>IFERROR(VLOOKUP(B187,[1]Sheet1!A:E,5,0),0)</f>
        <v>16</v>
      </c>
      <c r="H187" s="5">
        <f>IFERROR(VLOOKUP(B187,[1]Sheet1!A:E,4,0),0)</f>
        <v>62</v>
      </c>
      <c r="I187" s="5">
        <f t="shared" si="6"/>
        <v>78</v>
      </c>
      <c r="J187" s="5">
        <v>1898</v>
      </c>
      <c r="K187" s="6">
        <f t="shared" si="7"/>
        <v>0.49315068493150688</v>
      </c>
    </row>
    <row r="188" spans="1:11" ht="14.5" x14ac:dyDescent="0.25">
      <c r="A188" s="4">
        <v>202</v>
      </c>
      <c r="B188" s="5" t="s">
        <v>343</v>
      </c>
      <c r="C188" s="5" t="s">
        <v>16</v>
      </c>
      <c r="D188" s="5" t="s">
        <v>344</v>
      </c>
      <c r="E188" s="5" t="s">
        <v>345</v>
      </c>
      <c r="F188" s="5">
        <f>IFERROR(VLOOKUP(B188,[1]Sheet1!A:B,2,0),0)</f>
        <v>0</v>
      </c>
      <c r="G188" s="5">
        <f>IFERROR(VLOOKUP(B188,[1]Sheet1!A:E,5,0),0)</f>
        <v>0</v>
      </c>
      <c r="H188" s="5">
        <f>IFERROR(VLOOKUP(B188,[1]Sheet1!A:E,4,0),0)</f>
        <v>43</v>
      </c>
      <c r="I188" s="5">
        <f t="shared" si="6"/>
        <v>43</v>
      </c>
      <c r="J188" s="5">
        <v>3043</v>
      </c>
      <c r="K188" s="6">
        <f t="shared" si="7"/>
        <v>0.1695695037791653</v>
      </c>
    </row>
    <row r="189" spans="1:11" ht="14.5" x14ac:dyDescent="0.25">
      <c r="A189" s="4">
        <v>203</v>
      </c>
      <c r="B189" s="8" t="s">
        <v>433</v>
      </c>
      <c r="C189" s="8" t="s">
        <v>16</v>
      </c>
      <c r="D189" s="8" t="s">
        <v>434</v>
      </c>
      <c r="E189" s="5" t="s">
        <v>345</v>
      </c>
      <c r="F189" s="5">
        <f>IFERROR(VLOOKUP(B189,[1]Sheet1!A:B,2,0),0)</f>
        <v>0</v>
      </c>
      <c r="G189" s="5">
        <f>IFERROR(VLOOKUP(B189,[1]Sheet1!A:E,5,0),0)</f>
        <v>0</v>
      </c>
      <c r="H189" s="5">
        <f>IFERROR(VLOOKUP(B189,[1]Sheet1!A:E,4,0),0)</f>
        <v>190</v>
      </c>
      <c r="I189" s="5">
        <f t="shared" si="6"/>
        <v>190</v>
      </c>
      <c r="J189" s="5">
        <v>4983</v>
      </c>
      <c r="K189" s="6">
        <f t="shared" si="7"/>
        <v>0.45755568934376883</v>
      </c>
    </row>
    <row r="190" spans="1:11" ht="14.5" x14ac:dyDescent="0.25">
      <c r="A190" s="4">
        <v>204</v>
      </c>
      <c r="B190" s="5" t="s">
        <v>435</v>
      </c>
      <c r="C190" s="5" t="s">
        <v>16</v>
      </c>
      <c r="D190" s="5" t="s">
        <v>436</v>
      </c>
      <c r="E190" s="5" t="s">
        <v>345</v>
      </c>
      <c r="F190" s="5">
        <f>IFERROR(VLOOKUP(B190,[1]Sheet1!A:B,2,0),0)</f>
        <v>0</v>
      </c>
      <c r="G190" s="5">
        <f>IFERROR(VLOOKUP(B190,[1]Sheet1!A:E,5,0),0)</f>
        <v>61</v>
      </c>
      <c r="H190" s="5">
        <f>IFERROR(VLOOKUP(B190,[1]Sheet1!A:E,4,0),0)</f>
        <v>69</v>
      </c>
      <c r="I190" s="5">
        <f t="shared" si="6"/>
        <v>130</v>
      </c>
      <c r="J190" s="5">
        <v>3758</v>
      </c>
      <c r="K190" s="6">
        <f t="shared" si="7"/>
        <v>0.41511442256519421</v>
      </c>
    </row>
    <row r="191" spans="1:11" ht="14.5" x14ac:dyDescent="0.25">
      <c r="A191" s="4">
        <v>205</v>
      </c>
      <c r="B191" s="8" t="s">
        <v>437</v>
      </c>
      <c r="C191" s="8" t="s">
        <v>16</v>
      </c>
      <c r="D191" s="8" t="s">
        <v>438</v>
      </c>
      <c r="E191" s="5" t="s">
        <v>345</v>
      </c>
      <c r="F191" s="5">
        <f>IFERROR(VLOOKUP(B191,[1]Sheet1!A:B,2,0),0)</f>
        <v>0</v>
      </c>
      <c r="G191" s="5">
        <f>IFERROR(VLOOKUP(B191,[1]Sheet1!A:E,5,0),0)</f>
        <v>6</v>
      </c>
      <c r="H191" s="5">
        <f>IFERROR(VLOOKUP(B191,[1]Sheet1!A:E,4,0),0)</f>
        <v>47</v>
      </c>
      <c r="I191" s="5">
        <f t="shared" si="6"/>
        <v>53</v>
      </c>
      <c r="J191" s="5">
        <v>1615</v>
      </c>
      <c r="K191" s="6">
        <f t="shared" si="7"/>
        <v>0.39380804953560367</v>
      </c>
    </row>
    <row r="192" spans="1:11" ht="14.5" x14ac:dyDescent="0.25">
      <c r="A192" s="4">
        <v>206</v>
      </c>
      <c r="B192" s="5" t="s">
        <v>439</v>
      </c>
      <c r="C192" s="5" t="s">
        <v>16</v>
      </c>
      <c r="D192" s="5" t="s">
        <v>440</v>
      </c>
      <c r="E192" s="5" t="s">
        <v>345</v>
      </c>
      <c r="F192" s="5">
        <f>IFERROR(VLOOKUP(B192,[1]Sheet1!A:B,2,0),0)</f>
        <v>0</v>
      </c>
      <c r="G192" s="5">
        <f>IFERROR(VLOOKUP(B192,[1]Sheet1!A:E,5,0),0)</f>
        <v>0</v>
      </c>
      <c r="H192" s="5">
        <f>IFERROR(VLOOKUP(B192,[1]Sheet1!A:E,4,0),0)</f>
        <v>5</v>
      </c>
      <c r="I192" s="5">
        <f t="shared" si="6"/>
        <v>5</v>
      </c>
      <c r="J192" s="5">
        <v>725</v>
      </c>
      <c r="K192" s="6">
        <f t="shared" si="7"/>
        <v>8.2758620689655171E-2</v>
      </c>
    </row>
    <row r="193" spans="1:11" ht="14.5" x14ac:dyDescent="0.25">
      <c r="A193" s="4">
        <v>207</v>
      </c>
      <c r="B193" s="5" t="s">
        <v>441</v>
      </c>
      <c r="C193" s="5" t="s">
        <v>16</v>
      </c>
      <c r="D193" s="5" t="s">
        <v>442</v>
      </c>
      <c r="E193" s="5" t="s">
        <v>345</v>
      </c>
      <c r="F193" s="5">
        <f>IFERROR(VLOOKUP(B193,[1]Sheet1!A:B,2,0),0)</f>
        <v>0</v>
      </c>
      <c r="G193" s="5">
        <f>IFERROR(VLOOKUP(B193,[1]Sheet1!A:E,5,0),0)</f>
        <v>0</v>
      </c>
      <c r="H193" s="5">
        <f>IFERROR(VLOOKUP(B193,[1]Sheet1!A:E,4,0),0)</f>
        <v>125</v>
      </c>
      <c r="I193" s="5">
        <f t="shared" si="6"/>
        <v>125</v>
      </c>
      <c r="J193" s="5">
        <v>2792</v>
      </c>
      <c r="K193" s="6">
        <f t="shared" si="7"/>
        <v>0.53724928366762181</v>
      </c>
    </row>
    <row r="194" spans="1:11" ht="14.5" x14ac:dyDescent="0.25">
      <c r="A194" s="4">
        <v>208</v>
      </c>
      <c r="B194" s="5" t="s">
        <v>443</v>
      </c>
      <c r="C194" s="5" t="s">
        <v>368</v>
      </c>
      <c r="D194" s="5" t="s">
        <v>444</v>
      </c>
      <c r="E194" s="5" t="s">
        <v>445</v>
      </c>
      <c r="F194" s="5">
        <f>IFERROR(VLOOKUP(B194,[1]Sheet1!A:B,2,0),0)</f>
        <v>0</v>
      </c>
      <c r="G194" s="5">
        <f>IFERROR(VLOOKUP(B194,[1]Sheet1!A:E,5,0),0)</f>
        <v>0</v>
      </c>
      <c r="H194" s="5">
        <f>IFERROR(VLOOKUP(B194,[1]Sheet1!A:E,4,0),0)</f>
        <v>0</v>
      </c>
      <c r="I194" s="5">
        <f t="shared" si="6"/>
        <v>0</v>
      </c>
      <c r="J194" s="5">
        <v>99</v>
      </c>
      <c r="K194" s="6">
        <f t="shared" si="7"/>
        <v>0</v>
      </c>
    </row>
    <row r="195" spans="1:11" ht="14.5" x14ac:dyDescent="0.25">
      <c r="A195" s="20"/>
      <c r="B195" s="20"/>
      <c r="C195" s="20"/>
      <c r="D195" s="20"/>
      <c r="E195" s="11" t="s">
        <v>446</v>
      </c>
      <c r="F195" s="12">
        <f>SUM(F2:F194)</f>
        <v>112</v>
      </c>
      <c r="G195" s="12">
        <f>SUM(G2:G194)</f>
        <v>1201</v>
      </c>
      <c r="H195" s="12">
        <f>SUM(H2:H194)</f>
        <v>16214</v>
      </c>
      <c r="I195" s="12">
        <f>SUM(I2:I194)</f>
        <v>17415</v>
      </c>
      <c r="J195" s="12">
        <f>SUM(J2:J194)</f>
        <v>497798</v>
      </c>
      <c r="K195" s="13">
        <f t="shared" si="7"/>
        <v>0.41980883812309411</v>
      </c>
    </row>
    <row r="196" spans="1:11" ht="14.5" x14ac:dyDescent="0.25">
      <c r="A196" s="20"/>
      <c r="B196" s="20"/>
      <c r="C196" s="20"/>
      <c r="D196" s="20"/>
      <c r="E196" s="14" t="s">
        <v>5</v>
      </c>
      <c r="F196" s="15">
        <f>SUMIF($C$2:$C$194,$E196,F$2:F$194)</f>
        <v>62</v>
      </c>
      <c r="G196" s="15">
        <f>SUMIF($C$2:$C$194,$E196,G$2:G$194)</f>
        <v>152</v>
      </c>
      <c r="H196" s="15">
        <f>SUMIF($C$2:$C$194,$E196,H$2:H$194)</f>
        <v>4614</v>
      </c>
      <c r="I196" s="15">
        <f>SUMIF($C$2:$C$194,$E196,I$2:I$194)</f>
        <v>4766</v>
      </c>
      <c r="J196" s="15">
        <f>SUMIF($C$2:$C$194,$E196,J$2:J$194)</f>
        <v>143602</v>
      </c>
      <c r="K196" s="16">
        <f t="shared" si="7"/>
        <v>0.39826743360120331</v>
      </c>
    </row>
    <row r="197" spans="1:11" ht="14.5" x14ac:dyDescent="0.25">
      <c r="A197" s="20"/>
      <c r="B197" s="20"/>
      <c r="C197" s="20"/>
      <c r="D197" s="20"/>
      <c r="E197" s="14" t="s">
        <v>373</v>
      </c>
      <c r="F197" s="15">
        <f>SUMIF($C$2:$C$194,$E197,F$2:F$194)</f>
        <v>0</v>
      </c>
      <c r="G197" s="15">
        <f>SUMIF($C$2:$C$194,$E197,G$2:G$194)</f>
        <v>377</v>
      </c>
      <c r="H197" s="15">
        <f>SUMIF($C$2:$C$194,$E197,H$2:H$194)</f>
        <v>3271</v>
      </c>
      <c r="I197" s="15">
        <f>SUMIF($C$2:$C$194,$E197,I$2:I$194)</f>
        <v>3648</v>
      </c>
      <c r="J197" s="15">
        <f>SUMIF($C$2:$C$194,$E197,J$2:J$194)</f>
        <v>97544</v>
      </c>
      <c r="K197" s="16">
        <f t="shared" si="7"/>
        <v>0.44878208808332648</v>
      </c>
    </row>
    <row r="198" spans="1:11" ht="14.5" x14ac:dyDescent="0.25">
      <c r="A198" s="20"/>
      <c r="B198" s="20"/>
      <c r="C198" s="20"/>
      <c r="D198" s="20"/>
      <c r="E198" s="14" t="s">
        <v>379</v>
      </c>
      <c r="F198" s="15">
        <f>SUMIF($C$2:$C$194,$E198,F$2:F$194)</f>
        <v>0</v>
      </c>
      <c r="G198" s="15">
        <f>SUMIF($C$2:$C$194,$E198,G$2:G$194)</f>
        <v>24</v>
      </c>
      <c r="H198" s="15">
        <f>SUMIF($C$2:$C$194,$E198,H$2:H$194)</f>
        <v>1489</v>
      </c>
      <c r="I198" s="15">
        <f>SUMIF($C$2:$C$194,$E198,I$2:I$194)</f>
        <v>1513</v>
      </c>
      <c r="J198" s="15">
        <f>SUMIF($C$2:$C$194,$E198,J$2:J$194)</f>
        <v>51975</v>
      </c>
      <c r="K198" s="16">
        <f t="shared" si="7"/>
        <v>0.34932178932178931</v>
      </c>
    </row>
    <row r="199" spans="1:11" ht="14.5" x14ac:dyDescent="0.25">
      <c r="A199" s="20"/>
      <c r="B199" s="20"/>
      <c r="C199" s="20"/>
      <c r="D199" s="20"/>
      <c r="E199" s="14" t="s">
        <v>385</v>
      </c>
      <c r="F199" s="15">
        <f>SUMIF($C$2:$C$194,$E199,F$2:F$194)</f>
        <v>5</v>
      </c>
      <c r="G199" s="15">
        <f>SUMIF($C$2:$C$194,$E199,G$2:G$194)</f>
        <v>226</v>
      </c>
      <c r="H199" s="15">
        <f>SUMIF($C$2:$C$194,$E199,H$2:H$194)</f>
        <v>2386</v>
      </c>
      <c r="I199" s="15">
        <f>SUMIF($C$2:$C$194,$E199,I$2:I$194)</f>
        <v>2612</v>
      </c>
      <c r="J199" s="15">
        <f>SUMIF($C$2:$C$194,$E199,J$2:J$194)</f>
        <v>74487</v>
      </c>
      <c r="K199" s="16">
        <f t="shared" si="7"/>
        <v>0.42079826009907767</v>
      </c>
    </row>
    <row r="200" spans="1:11" ht="14.5" x14ac:dyDescent="0.25">
      <c r="A200" s="20"/>
      <c r="B200" s="20"/>
      <c r="C200" s="20"/>
      <c r="D200" s="20"/>
      <c r="E200" s="14" t="s">
        <v>7</v>
      </c>
      <c r="F200" s="15">
        <f>SUMIF($C$2:$C$194,$E200,F$2:F$194)</f>
        <v>30</v>
      </c>
      <c r="G200" s="15">
        <f>SUMIF($C$2:$C$194,$E200,G$2:G$194)</f>
        <v>83</v>
      </c>
      <c r="H200" s="15">
        <f>SUMIF($C$2:$C$194,$E200,H$2:H$194)</f>
        <v>2117</v>
      </c>
      <c r="I200" s="15">
        <f>SUMIF($C$2:$C$194,$E200,I$2:I$194)</f>
        <v>2200</v>
      </c>
      <c r="J200" s="15">
        <f>SUMIF($C$2:$C$194,$E200,J$2:J$194)</f>
        <v>57405</v>
      </c>
      <c r="K200" s="16">
        <f t="shared" si="7"/>
        <v>0.45989025346224194</v>
      </c>
    </row>
    <row r="201" spans="1:11" ht="14.5" x14ac:dyDescent="0.25">
      <c r="A201" s="10"/>
      <c r="B201" s="10"/>
      <c r="C201" s="10"/>
      <c r="D201" s="10"/>
      <c r="E201" s="14" t="s">
        <v>16</v>
      </c>
      <c r="F201" s="15">
        <f>SUMIF($C$2:$C$194,$E201,F$2:F$194)</f>
        <v>15</v>
      </c>
      <c r="G201" s="15">
        <f>SUMIF($C$2:$C$194,$E201,G$2:G$194)</f>
        <v>339</v>
      </c>
      <c r="H201" s="15">
        <f>SUMIF($C$2:$C$194,$E201,H$2:H$194)</f>
        <v>2337</v>
      </c>
      <c r="I201" s="15">
        <f>SUMIF($C$2:$C$194,$E201,I$2:I$194)</f>
        <v>2676</v>
      </c>
      <c r="J201" s="15">
        <f>SUMIF($C$2:$C$194,$E201,J$2:J$194)</f>
        <v>72785</v>
      </c>
      <c r="K201" s="16">
        <f t="shared" si="7"/>
        <v>0.44118980559181148</v>
      </c>
    </row>
    <row r="202" spans="1:11" ht="14.5" x14ac:dyDescent="0.25">
      <c r="A202" s="20"/>
      <c r="B202" s="20"/>
      <c r="C202" s="20"/>
      <c r="D202" s="20"/>
      <c r="E202" s="14" t="s">
        <v>447</v>
      </c>
      <c r="F202" s="15">
        <f>F197+F198</f>
        <v>0</v>
      </c>
      <c r="G202" s="15">
        <f>G197+G198</f>
        <v>401</v>
      </c>
      <c r="H202" s="15">
        <f>H197+H198</f>
        <v>4760</v>
      </c>
      <c r="I202" s="15">
        <f>I197+I198</f>
        <v>5161</v>
      </c>
      <c r="J202" s="15">
        <f>J197+J198</f>
        <v>149519</v>
      </c>
      <c r="K202" s="16">
        <f t="shared" si="7"/>
        <v>0.41420822771687882</v>
      </c>
    </row>
    <row r="203" spans="1:11" ht="14.5" x14ac:dyDescent="0.25">
      <c r="A203" s="20"/>
      <c r="B203" s="20"/>
      <c r="C203" s="20"/>
      <c r="D203" s="20"/>
      <c r="E203" s="14" t="s">
        <v>448</v>
      </c>
      <c r="F203" s="17">
        <f>SUMIF($E$2:$E$194,$E203,F$2:F$194)</f>
        <v>0</v>
      </c>
      <c r="G203" s="17">
        <f>SUMIF($E$2:$E$194,$E203,G$2:G$194)</f>
        <v>16</v>
      </c>
      <c r="H203" s="17">
        <f>SUMIF($E$2:$E$194,$E203,H$2:H$194)</f>
        <v>1334</v>
      </c>
      <c r="I203" s="17">
        <f>SUMIF($E$2:$E$194,$E203,I$2:I$194)</f>
        <v>1350</v>
      </c>
      <c r="J203" s="19"/>
      <c r="K203" s="19"/>
    </row>
    <row r="204" spans="1:11" ht="14.5" x14ac:dyDescent="0.25">
      <c r="A204" s="20"/>
      <c r="B204" s="20"/>
      <c r="C204" s="20"/>
      <c r="D204" s="20"/>
      <c r="E204" s="14" t="s">
        <v>449</v>
      </c>
      <c r="F204" s="17">
        <f>SUMIF($E$2:$E$194,$E204,F$2:F$194)</f>
        <v>10</v>
      </c>
      <c r="G204" s="17">
        <f>SUMIF($E$2:$E$194,$E204,G$2:G$194)</f>
        <v>13</v>
      </c>
      <c r="H204" s="17">
        <f>SUMIF($E$2:$E$194,$E204,H$2:H$194)</f>
        <v>888</v>
      </c>
      <c r="I204" s="17">
        <f>SUMIF($E$2:$E$194,$E204,I$2:I$194)</f>
        <v>901</v>
      </c>
      <c r="J204" s="19"/>
      <c r="K204" s="19"/>
    </row>
    <row r="205" spans="1:11" ht="14.5" x14ac:dyDescent="0.25">
      <c r="A205" s="10"/>
      <c r="B205" s="10"/>
      <c r="C205" s="10"/>
      <c r="D205" s="10"/>
      <c r="E205" s="14" t="s">
        <v>450</v>
      </c>
      <c r="F205" s="17">
        <f>SUMIF($E$2:$E$194,$E205,F$2:F$194)</f>
        <v>21</v>
      </c>
      <c r="G205" s="17">
        <f>SUMIF($E$2:$E$194,$E205,G$2:G$194)</f>
        <v>38</v>
      </c>
      <c r="H205" s="17">
        <f>SUMIF($E$2:$E$194,$E205,H$2:H$194)</f>
        <v>1189</v>
      </c>
      <c r="I205" s="17">
        <f>SUMIF($E$2:$E$194,$E205,I$2:I$194)</f>
        <v>1227</v>
      </c>
      <c r="J205" s="19"/>
      <c r="K205" s="19"/>
    </row>
    <row r="206" spans="1:11" ht="14.5" x14ac:dyDescent="0.25">
      <c r="A206" s="10"/>
      <c r="B206" s="10"/>
      <c r="C206" s="10"/>
      <c r="D206" s="10"/>
      <c r="E206" s="14" t="s">
        <v>445</v>
      </c>
      <c r="F206" s="17">
        <f>SUMIF($E$2:$E$194,$E206,F$2:F$194)</f>
        <v>31</v>
      </c>
      <c r="G206" s="17">
        <f>SUMIF($E$2:$E$194,$E206,G$2:G$194)</f>
        <v>85</v>
      </c>
      <c r="H206" s="17">
        <f>SUMIF($E$2:$E$194,$E206,H$2:H$194)</f>
        <v>768</v>
      </c>
      <c r="I206" s="17">
        <f>SUMIF($E$2:$E$194,$E206,I$2:I$194)</f>
        <v>853</v>
      </c>
      <c r="J206" s="19"/>
      <c r="K206" s="19"/>
    </row>
    <row r="207" spans="1:11" ht="14.5" x14ac:dyDescent="0.25">
      <c r="A207" s="10"/>
      <c r="B207" s="10"/>
      <c r="C207" s="10"/>
      <c r="D207" s="10"/>
      <c r="E207" s="14" t="s">
        <v>451</v>
      </c>
      <c r="F207" s="17">
        <f>SUMIF($E$2:$E$194,$E207,F$2:F$194)</f>
        <v>0</v>
      </c>
      <c r="G207" s="17">
        <f>SUMIF($E$2:$E$194,$E207,G$2:G$194)</f>
        <v>0</v>
      </c>
      <c r="H207" s="17">
        <f>SUMIF($E$2:$E$194,$E207,H$2:H$194)</f>
        <v>435</v>
      </c>
      <c r="I207" s="17">
        <f>SUMIF($E$2:$E$194,$E207,I$2:I$194)</f>
        <v>435</v>
      </c>
      <c r="J207" s="19"/>
      <c r="K207" s="19"/>
    </row>
    <row r="208" spans="1:11" ht="14.5" x14ac:dyDescent="0.25">
      <c r="A208" s="20"/>
      <c r="B208" s="20"/>
      <c r="C208" s="20"/>
      <c r="D208" s="20"/>
      <c r="E208" s="14" t="s">
        <v>452</v>
      </c>
      <c r="F208" s="17">
        <f>SUMIF($E$2:$E$194,$E208,F$2:F$194)</f>
        <v>0</v>
      </c>
      <c r="G208" s="17">
        <f>SUMIF($E$2:$E$194,$E208,G$2:G$194)</f>
        <v>122</v>
      </c>
      <c r="H208" s="17">
        <f>SUMIF($E$2:$E$194,$E208,H$2:H$194)</f>
        <v>647</v>
      </c>
      <c r="I208" s="17">
        <f>SUMIF($E$2:$E$194,$E208,I$2:I$194)</f>
        <v>769</v>
      </c>
      <c r="J208" s="19"/>
      <c r="K208" s="19"/>
    </row>
    <row r="209" spans="1:11" ht="14.5" x14ac:dyDescent="0.25">
      <c r="A209" s="20"/>
      <c r="B209" s="20"/>
      <c r="C209" s="20"/>
      <c r="D209" s="20"/>
      <c r="E209" s="14" t="s">
        <v>453</v>
      </c>
      <c r="F209" s="17">
        <f>SUMIF($E$2:$E$194,$E209,F$2:F$194)</f>
        <v>0</v>
      </c>
      <c r="G209" s="17">
        <f>SUMIF($E$2:$E$194,$E209,G$2:G$194)</f>
        <v>0</v>
      </c>
      <c r="H209" s="17">
        <f>SUMIF($E$2:$E$194,$E209,H$2:H$194)</f>
        <v>742</v>
      </c>
      <c r="I209" s="17">
        <f>SUMIF($E$2:$E$194,$E209,I$2:I$194)</f>
        <v>742</v>
      </c>
      <c r="J209" s="19"/>
      <c r="K209" s="19"/>
    </row>
    <row r="210" spans="1:11" ht="14.5" x14ac:dyDescent="0.25">
      <c r="A210" s="10"/>
      <c r="B210" s="10"/>
      <c r="C210" s="10"/>
      <c r="D210" s="10"/>
      <c r="E210" s="14" t="s">
        <v>454</v>
      </c>
      <c r="F210" s="17">
        <f>SUMIF($E$2:$E$194,$E210,F$2:F$194)</f>
        <v>0</v>
      </c>
      <c r="G210" s="17">
        <f>SUMIF($E$2:$E$194,$E210,G$2:G$194)</f>
        <v>232</v>
      </c>
      <c r="H210" s="17">
        <f>SUMIF($E$2:$E$194,$E210,H$2:H$194)</f>
        <v>1260</v>
      </c>
      <c r="I210" s="17">
        <f>SUMIF($E$2:$E$194,$E210,I$2:I$194)</f>
        <v>1492</v>
      </c>
    </row>
    <row r="211" spans="1:11" ht="14.5" x14ac:dyDescent="0.25">
      <c r="A211" s="20"/>
      <c r="B211" s="20"/>
      <c r="C211" s="20"/>
      <c r="D211" s="20"/>
      <c r="E211" s="14" t="s">
        <v>371</v>
      </c>
      <c r="F211" s="17">
        <f>SUMIF($E$2:$E$194,$E211,F$2:F$194)</f>
        <v>0</v>
      </c>
      <c r="G211" s="17">
        <f>SUMIF($E$2:$E$194,$E211,G$2:G$194)</f>
        <v>23</v>
      </c>
      <c r="H211" s="17">
        <f>SUMIF($E$2:$E$194,$E211,H$2:H$194)</f>
        <v>1364</v>
      </c>
      <c r="I211" s="17">
        <f>SUMIF($E$2:$E$194,$E211,I$2:I$194)</f>
        <v>1387</v>
      </c>
      <c r="J211" s="19"/>
      <c r="K211" s="19"/>
    </row>
    <row r="212" spans="1:11" ht="14.5" x14ac:dyDescent="0.25">
      <c r="A212" s="20"/>
      <c r="B212" s="20"/>
      <c r="C212" s="20"/>
      <c r="D212" s="20"/>
      <c r="E212" s="14" t="s">
        <v>377</v>
      </c>
      <c r="F212" s="17">
        <f>SUMIF($E$2:$E$194,$E212,F$2:F$194)</f>
        <v>0</v>
      </c>
      <c r="G212" s="17">
        <f>SUMIF($E$2:$E$194,$E212,G$2:G$194)</f>
        <v>24</v>
      </c>
      <c r="H212" s="17">
        <f>SUMIF($E$2:$E$194,$E212,H$2:H$194)</f>
        <v>747</v>
      </c>
      <c r="I212" s="17">
        <f>SUMIF($E$2:$E$194,$E212,I$2:I$194)</f>
        <v>771</v>
      </c>
      <c r="J212" s="19"/>
      <c r="K212" s="19"/>
    </row>
    <row r="213" spans="1:11" ht="14.5" x14ac:dyDescent="0.25">
      <c r="A213" s="20"/>
      <c r="B213" s="20"/>
      <c r="C213" s="20"/>
      <c r="D213" s="20"/>
      <c r="E213" s="14" t="s">
        <v>399</v>
      </c>
      <c r="F213" s="17">
        <f>SUMIF($E$2:$E$194,$E213,F$2:F$194)</f>
        <v>0</v>
      </c>
      <c r="G213" s="17">
        <f>SUMIF($E$2:$E$194,$E213,G$2:G$194)</f>
        <v>0</v>
      </c>
      <c r="H213" s="17">
        <f>SUMIF($E$2:$E$194,$E213,H$2:H$194)</f>
        <v>329</v>
      </c>
      <c r="I213" s="17">
        <f>SUMIF($E$2:$E$194,$E213,I$2:I$194)</f>
        <v>329</v>
      </c>
      <c r="J213" s="19"/>
      <c r="K213" s="19"/>
    </row>
    <row r="214" spans="1:11" ht="14.5" x14ac:dyDescent="0.25">
      <c r="A214" s="20"/>
      <c r="B214" s="20"/>
      <c r="C214" s="20"/>
      <c r="D214" s="20"/>
      <c r="E214" s="14" t="s">
        <v>455</v>
      </c>
      <c r="F214" s="17">
        <f>SUMIF($E$2:$E$194,$E214,F$2:F$194)</f>
        <v>0</v>
      </c>
      <c r="G214" s="17">
        <f>SUMIF($E$2:$E$194,$E214,G$2:G$194)</f>
        <v>0</v>
      </c>
      <c r="H214" s="17">
        <f>SUMIF($E$2:$E$194,$E214,H$2:H$194)</f>
        <v>945</v>
      </c>
      <c r="I214" s="17">
        <f>SUMIF($E$2:$E$194,$E214,I$2:I$194)</f>
        <v>945</v>
      </c>
      <c r="J214" s="19"/>
      <c r="K214" s="19"/>
    </row>
    <row r="215" spans="1:11" ht="14.5" x14ac:dyDescent="0.25">
      <c r="A215" s="20"/>
      <c r="B215" s="20"/>
      <c r="C215" s="20"/>
      <c r="D215" s="20"/>
      <c r="E215" s="14" t="s">
        <v>456</v>
      </c>
      <c r="F215" s="17">
        <f>SUMIF($E$2:$E$194,$E215,F$2:F$194)</f>
        <v>5</v>
      </c>
      <c r="G215" s="17">
        <f>SUMIF($E$2:$E$194,$E215,G$2:G$194)</f>
        <v>183</v>
      </c>
      <c r="H215" s="17">
        <f>SUMIF($E$2:$E$194,$E215,H$2:H$194)</f>
        <v>497</v>
      </c>
      <c r="I215" s="17">
        <f>SUMIF($E$2:$E$194,$E215,I$2:I$194)</f>
        <v>680</v>
      </c>
      <c r="J215" s="19"/>
      <c r="K215" s="19"/>
    </row>
    <row r="216" spans="1:11" ht="14.5" x14ac:dyDescent="0.25">
      <c r="A216" s="20"/>
      <c r="B216" s="20"/>
      <c r="C216" s="20"/>
      <c r="D216" s="20"/>
      <c r="E216" s="14" t="s">
        <v>457</v>
      </c>
      <c r="F216" s="17">
        <f>SUMIF($E$2:$E$194,$E216,F$2:F$194)</f>
        <v>0</v>
      </c>
      <c r="G216" s="17">
        <f>SUMIF($E$2:$E$194,$E216,G$2:G$194)</f>
        <v>43</v>
      </c>
      <c r="H216" s="17">
        <f>SUMIF($E$2:$E$194,$E216,H$2:H$194)</f>
        <v>615</v>
      </c>
      <c r="I216" s="17">
        <f>SUMIF($E$2:$E$194,$E216,I$2:I$194)</f>
        <v>658</v>
      </c>
      <c r="J216" s="19"/>
      <c r="K216" s="19"/>
    </row>
    <row r="217" spans="1:11" ht="14.5" x14ac:dyDescent="0.25">
      <c r="A217" s="10"/>
      <c r="B217" s="10"/>
      <c r="C217" s="10"/>
      <c r="D217" s="10"/>
      <c r="E217" s="14" t="s">
        <v>458</v>
      </c>
      <c r="F217" s="17">
        <f>SUMIF($E$2:$E$194,$E217,F$2:F$194)</f>
        <v>7</v>
      </c>
      <c r="G217" s="17">
        <f>SUMIF($E$2:$E$194,$E217,G$2:G$194)</f>
        <v>35</v>
      </c>
      <c r="H217" s="17">
        <f>SUMIF($E$2:$E$194,$E217,H$2:H$194)</f>
        <v>433</v>
      </c>
      <c r="I217" s="17">
        <f>SUMIF($E$2:$E$194,$E217,I$2:I$194)</f>
        <v>468</v>
      </c>
    </row>
    <row r="218" spans="1:11" ht="14.5" x14ac:dyDescent="0.25">
      <c r="A218" s="20"/>
      <c r="B218" s="20"/>
      <c r="C218" s="20"/>
      <c r="D218" s="20"/>
      <c r="E218" s="14" t="s">
        <v>459</v>
      </c>
      <c r="F218" s="17">
        <f>SUMIF($E$2:$E$194,$E218,F$2:F$194)</f>
        <v>0</v>
      </c>
      <c r="G218" s="17">
        <f>SUMIF($E$2:$E$194,$E218,G$2:G$194)</f>
        <v>15</v>
      </c>
      <c r="H218" s="17">
        <f>SUMIF($E$2:$E$194,$E218,H$2:H$194)</f>
        <v>569</v>
      </c>
      <c r="I218" s="17">
        <f>SUMIF($E$2:$E$194,$E218,I$2:I$194)</f>
        <v>584</v>
      </c>
      <c r="J218" s="19"/>
      <c r="K218" s="19"/>
    </row>
    <row r="219" spans="1:11" ht="14.5" x14ac:dyDescent="0.25">
      <c r="A219" s="20"/>
      <c r="B219" s="20"/>
      <c r="C219" s="20"/>
      <c r="D219" s="20"/>
      <c r="E219" s="14" t="s">
        <v>460</v>
      </c>
      <c r="F219" s="17">
        <f>SUMIF($E$2:$E$194,$E219,F$2:F$194)</f>
        <v>23</v>
      </c>
      <c r="G219" s="17">
        <f>SUMIF($E$2:$E$194,$E219,G$2:G$194)</f>
        <v>33</v>
      </c>
      <c r="H219" s="17">
        <f>SUMIF($E$2:$E$194,$E219,H$2:H$194)</f>
        <v>257</v>
      </c>
      <c r="I219" s="17">
        <f>SUMIF($E$2:$E$194,$E219,I$2:I$194)</f>
        <v>290</v>
      </c>
      <c r="J219" s="19"/>
      <c r="K219" s="19"/>
    </row>
    <row r="220" spans="1:11" ht="14.5" x14ac:dyDescent="0.25">
      <c r="A220" s="20"/>
      <c r="B220" s="20"/>
      <c r="C220" s="20"/>
      <c r="D220" s="20"/>
      <c r="E220" s="14" t="s">
        <v>410</v>
      </c>
      <c r="F220" s="17">
        <f>SUMIF($E$2:$E$194,$E220,F$2:F$194)</f>
        <v>0</v>
      </c>
      <c r="G220" s="17">
        <f>SUMIF($E$2:$E$194,$E220,G$2:G$194)</f>
        <v>0</v>
      </c>
      <c r="H220" s="17">
        <f>SUMIF($E$2:$E$194,$E220,H$2:H$194)</f>
        <v>858</v>
      </c>
      <c r="I220" s="17">
        <f>SUMIF($E$2:$E$194,$E220,I$2:I$194)</f>
        <v>858</v>
      </c>
      <c r="J220" s="19"/>
      <c r="K220" s="19"/>
    </row>
    <row r="221" spans="1:11" ht="14.5" x14ac:dyDescent="0.25">
      <c r="A221" s="20"/>
      <c r="B221" s="20"/>
      <c r="C221" s="20"/>
      <c r="D221" s="20"/>
      <c r="E221" s="14" t="s">
        <v>461</v>
      </c>
      <c r="F221" s="17">
        <f>SUMIF($E$2:$E$194,$E221,F$2:F$194)</f>
        <v>0</v>
      </c>
      <c r="G221" s="17">
        <f>SUMIF($E$2:$E$194,$E221,G$2:G$194)</f>
        <v>161</v>
      </c>
      <c r="H221" s="17">
        <f>SUMIF($E$2:$E$194,$E221,H$2:H$194)</f>
        <v>804</v>
      </c>
      <c r="I221" s="17">
        <f>SUMIF($E$2:$E$194,$E221,I$2:I$194)</f>
        <v>965</v>
      </c>
      <c r="J221" s="19"/>
      <c r="K221" s="19"/>
    </row>
    <row r="222" spans="1:11" ht="14.5" x14ac:dyDescent="0.25">
      <c r="A222" s="10"/>
      <c r="B222" s="10"/>
      <c r="C222" s="10"/>
      <c r="D222" s="10"/>
      <c r="E222" s="14" t="s">
        <v>462</v>
      </c>
      <c r="F222" s="17">
        <f>SUMIF($E$2:$E$194,$E222,F$2:F$194)</f>
        <v>15</v>
      </c>
      <c r="G222" s="17">
        <f>SUMIF($E$2:$E$194,$E222,G$2:G$194)</f>
        <v>95</v>
      </c>
      <c r="H222" s="17">
        <f>SUMIF($E$2:$E$194,$E222,H$2:H$194)</f>
        <v>703</v>
      </c>
      <c r="I222" s="17">
        <f>SUMIF($E$2:$E$194,$E222,I$2:I$194)</f>
        <v>798</v>
      </c>
    </row>
    <row r="223" spans="1:11" ht="14.5" x14ac:dyDescent="0.25">
      <c r="A223" s="20"/>
      <c r="B223" s="20"/>
      <c r="C223" s="20"/>
      <c r="D223" s="20"/>
      <c r="E223" s="14" t="s">
        <v>463</v>
      </c>
      <c r="F223" s="17">
        <f>SUMIF($E$2:$E$194,$E223,F$2:F$194)</f>
        <v>0</v>
      </c>
      <c r="G223" s="17">
        <f>SUMIF($E$2:$E$194,$E223,G$2:G$194)</f>
        <v>83</v>
      </c>
      <c r="H223" s="17">
        <f>SUMIF($E$2:$E$194,$E223,H$2:H$194)</f>
        <v>830</v>
      </c>
      <c r="I223" s="17">
        <f>SUMIF($E$2:$E$194,$E223,I$2:I$194)</f>
        <v>913</v>
      </c>
      <c r="J223" s="19"/>
      <c r="K223" s="19"/>
    </row>
    <row r="224" spans="1:11" ht="14.5" x14ac:dyDescent="0.25">
      <c r="A224" s="10"/>
      <c r="B224" s="10"/>
      <c r="C224" s="10"/>
      <c r="D224" s="10"/>
      <c r="E224" s="10"/>
      <c r="F224" s="18"/>
    </row>
    <row r="226" spans="1:11" ht="16.5" x14ac:dyDescent="0.25">
      <c r="A226" s="21" t="s">
        <v>464</v>
      </c>
    </row>
    <row r="227" spans="1:11" ht="14.5" x14ac:dyDescent="0.25">
      <c r="A227" s="22">
        <v>33</v>
      </c>
      <c r="B227" s="23" t="s">
        <v>193</v>
      </c>
      <c r="C227" s="23" t="s">
        <v>5</v>
      </c>
      <c r="D227" s="23" t="s">
        <v>194</v>
      </c>
      <c r="E227" s="23" t="s">
        <v>181</v>
      </c>
      <c r="F227" s="23">
        <f>IFERROR(VLOOKUP(B227,[1]Sheet1!A:B,2,0),0)</f>
        <v>0</v>
      </c>
      <c r="G227" s="23">
        <f>IFERROR(VLOOKUP(B227,[1]Sheet1!A:E,5,0),0)</f>
        <v>0</v>
      </c>
      <c r="H227" s="23">
        <f>IFERROR(VLOOKUP(B227,[1]Sheet1!A:E,4,0),0)</f>
        <v>0</v>
      </c>
      <c r="I227" s="23">
        <f t="shared" ref="I227:I238" si="8">G227+H227</f>
        <v>0</v>
      </c>
      <c r="J227" s="23">
        <v>1337</v>
      </c>
      <c r="K227" s="24">
        <f t="shared" ref="K227:K238" si="9">I227/(J227/12)</f>
        <v>0</v>
      </c>
    </row>
    <row r="228" spans="1:11" ht="14.5" x14ac:dyDescent="0.25">
      <c r="A228" s="22">
        <v>23</v>
      </c>
      <c r="B228" s="23" t="s">
        <v>6</v>
      </c>
      <c r="C228" s="23" t="s">
        <v>5</v>
      </c>
      <c r="D228" s="23" t="s">
        <v>211</v>
      </c>
      <c r="E228" s="23" t="s">
        <v>217</v>
      </c>
      <c r="F228" s="23">
        <f>IFERROR(VLOOKUP(B228,[1]Sheet1!A:B,2,0),0)</f>
        <v>0</v>
      </c>
      <c r="G228" s="23">
        <f>IFERROR(VLOOKUP(B228,[1]Sheet1!A:E,5,0),0)</f>
        <v>0</v>
      </c>
      <c r="H228" s="23">
        <f>IFERROR(VLOOKUP(B228,[1]Sheet1!A:E,4,0),0)</f>
        <v>0</v>
      </c>
      <c r="I228" s="23">
        <f t="shared" si="8"/>
        <v>0</v>
      </c>
      <c r="J228" s="23">
        <v>1308</v>
      </c>
      <c r="K228" s="24">
        <f t="shared" si="9"/>
        <v>0</v>
      </c>
    </row>
    <row r="229" spans="1:11" ht="14.5" x14ac:dyDescent="0.25">
      <c r="A229" s="22">
        <v>200</v>
      </c>
      <c r="B229" s="23" t="s">
        <v>465</v>
      </c>
      <c r="C229" s="23" t="s">
        <v>16</v>
      </c>
      <c r="D229" s="23" t="s">
        <v>466</v>
      </c>
      <c r="E229" s="23" t="s">
        <v>345</v>
      </c>
      <c r="F229" s="23">
        <f>IFERROR(VLOOKUP(B229,[1]Sheet1!A:B,2,0),0)</f>
        <v>0</v>
      </c>
      <c r="G229" s="23">
        <f>IFERROR(VLOOKUP(B229,[1]Sheet1!A:E,5,0),0)</f>
        <v>0</v>
      </c>
      <c r="H229" s="23">
        <f>IFERROR(VLOOKUP(B229,[1]Sheet1!A:E,4,0),0)</f>
        <v>0</v>
      </c>
      <c r="I229" s="23">
        <f t="shared" si="8"/>
        <v>0</v>
      </c>
      <c r="J229" s="23">
        <v>1744</v>
      </c>
      <c r="K229" s="24">
        <f t="shared" si="9"/>
        <v>0</v>
      </c>
    </row>
    <row r="230" spans="1:11" ht="14.5" x14ac:dyDescent="0.25">
      <c r="A230" s="22">
        <v>182</v>
      </c>
      <c r="B230" s="23" t="s">
        <v>329</v>
      </c>
      <c r="C230" s="23" t="s">
        <v>16</v>
      </c>
      <c r="D230" s="23" t="s">
        <v>330</v>
      </c>
      <c r="E230" s="23" t="s">
        <v>354</v>
      </c>
      <c r="F230" s="23">
        <f>IFERROR(VLOOKUP(B230,[1]Sheet1!A:B,2,0),0)</f>
        <v>0</v>
      </c>
      <c r="G230" s="23">
        <f>IFERROR(VLOOKUP(B230,[1]Sheet1!A:E,5,0),0)</f>
        <v>0</v>
      </c>
      <c r="H230" s="23">
        <f>IFERROR(VLOOKUP(B230,[1]Sheet1!A:E,4,0),0)</f>
        <v>0</v>
      </c>
      <c r="I230" s="23">
        <f t="shared" si="8"/>
        <v>0</v>
      </c>
      <c r="J230" s="23">
        <v>672</v>
      </c>
      <c r="K230" s="24">
        <f t="shared" si="9"/>
        <v>0</v>
      </c>
    </row>
    <row r="231" spans="1:11" ht="14.5" x14ac:dyDescent="0.25">
      <c r="A231" s="22">
        <v>124</v>
      </c>
      <c r="B231" s="23" t="s">
        <v>58</v>
      </c>
      <c r="C231" s="23" t="s">
        <v>385</v>
      </c>
      <c r="D231" s="23" t="s">
        <v>304</v>
      </c>
      <c r="E231" s="23" t="s">
        <v>295</v>
      </c>
      <c r="F231" s="23">
        <f>IFERROR(VLOOKUP(B231,[1]Sheet1!A:B,2,0),0)</f>
        <v>0</v>
      </c>
      <c r="G231" s="23">
        <f>IFERROR(VLOOKUP(B231,[1]Sheet1!A:E,5,0),0)</f>
        <v>0</v>
      </c>
      <c r="H231" s="23">
        <f>IFERROR(VLOOKUP(B231,[1]Sheet1!A:E,4,0),0)</f>
        <v>0</v>
      </c>
      <c r="I231" s="23">
        <f t="shared" si="8"/>
        <v>0</v>
      </c>
      <c r="J231" s="23">
        <v>1126</v>
      </c>
      <c r="K231" s="24">
        <f t="shared" si="9"/>
        <v>0</v>
      </c>
    </row>
    <row r="232" spans="1:11" ht="14.5" x14ac:dyDescent="0.25">
      <c r="A232" s="22">
        <v>5</v>
      </c>
      <c r="B232" s="23" t="s">
        <v>56</v>
      </c>
      <c r="C232" s="23" t="s">
        <v>368</v>
      </c>
      <c r="D232" s="23" t="s">
        <v>172</v>
      </c>
      <c r="E232" s="23" t="s">
        <v>357</v>
      </c>
      <c r="F232" s="23">
        <f>IFERROR(VLOOKUP(B232,[1]Sheet1!A:B,2,0),0)</f>
        <v>0</v>
      </c>
      <c r="G232" s="23">
        <f>IFERROR(VLOOKUP(B232,[1]Sheet1!A:E,5,0),0)</f>
        <v>0</v>
      </c>
      <c r="H232" s="23">
        <f>IFERROR(VLOOKUP(B232,[1]Sheet1!A:E,4,0),0)</f>
        <v>0</v>
      </c>
      <c r="I232" s="23">
        <f t="shared" si="8"/>
        <v>0</v>
      </c>
      <c r="J232" s="23">
        <v>1343</v>
      </c>
      <c r="K232" s="24">
        <f t="shared" si="9"/>
        <v>0</v>
      </c>
    </row>
    <row r="233" spans="1:11" ht="14.5" x14ac:dyDescent="0.25">
      <c r="A233" s="22">
        <v>194</v>
      </c>
      <c r="B233" s="23" t="s">
        <v>467</v>
      </c>
      <c r="C233" s="23" t="s">
        <v>413</v>
      </c>
      <c r="D233" s="23" t="s">
        <v>468</v>
      </c>
      <c r="E233" s="23" t="s">
        <v>346</v>
      </c>
      <c r="F233" s="23">
        <f>IFERROR(VLOOKUP(B233,[1]Sheet1!A:B,2,0),0)</f>
        <v>0</v>
      </c>
      <c r="G233" s="23">
        <f>IFERROR(VLOOKUP(B233,[1]Sheet1!A:E,5,0),0)</f>
        <v>0</v>
      </c>
      <c r="H233" s="23">
        <f>IFERROR(VLOOKUP(B233,[1]Sheet1!A:E,4,0),0)</f>
        <v>0</v>
      </c>
      <c r="I233" s="23">
        <f t="shared" si="8"/>
        <v>0</v>
      </c>
      <c r="J233" s="23">
        <v>1756</v>
      </c>
      <c r="K233" s="24">
        <f t="shared" si="9"/>
        <v>0</v>
      </c>
    </row>
    <row r="234" spans="1:11" ht="14.5" x14ac:dyDescent="0.25">
      <c r="A234" s="22">
        <v>119</v>
      </c>
      <c r="B234" s="23" t="s">
        <v>469</v>
      </c>
      <c r="C234" s="23" t="s">
        <v>385</v>
      </c>
      <c r="D234" s="23" t="s">
        <v>470</v>
      </c>
      <c r="E234" s="23" t="s">
        <v>317</v>
      </c>
      <c r="F234" s="23">
        <f>IFERROR(VLOOKUP(B234,[1]Sheet1!A:B,2,0),0)</f>
        <v>0</v>
      </c>
      <c r="G234" s="23">
        <f>IFERROR(VLOOKUP(B234,[1]Sheet1!A:E,5,0),0)</f>
        <v>0</v>
      </c>
      <c r="H234" s="23">
        <f>IFERROR(VLOOKUP(B234,[1]Sheet1!A:E,4,0),0)</f>
        <v>0</v>
      </c>
      <c r="I234" s="23">
        <f t="shared" si="8"/>
        <v>0</v>
      </c>
      <c r="J234" s="23">
        <v>143</v>
      </c>
      <c r="K234" s="24">
        <f t="shared" si="9"/>
        <v>0</v>
      </c>
    </row>
    <row r="235" spans="1:11" ht="14.5" x14ac:dyDescent="0.25">
      <c r="A235" s="22">
        <v>29</v>
      </c>
      <c r="B235" s="23" t="s">
        <v>471</v>
      </c>
      <c r="C235" s="23" t="s">
        <v>368</v>
      </c>
      <c r="D235" s="23" t="s">
        <v>472</v>
      </c>
      <c r="E235" s="23" t="s">
        <v>217</v>
      </c>
      <c r="F235" s="23">
        <f>IFERROR(VLOOKUP(B235,[1]Sheet1!A:B,2,0),0)</f>
        <v>0</v>
      </c>
      <c r="G235" s="23">
        <f>IFERROR(VLOOKUP(B235,[1]Sheet1!A:E,5,0),0)</f>
        <v>16</v>
      </c>
      <c r="H235" s="23">
        <f>IFERROR(VLOOKUP(B235,[1]Sheet1!A:E,4,0),0)</f>
        <v>0</v>
      </c>
      <c r="I235" s="23">
        <f t="shared" si="8"/>
        <v>16</v>
      </c>
      <c r="J235" s="23">
        <v>3524</v>
      </c>
      <c r="K235" s="24">
        <f t="shared" si="9"/>
        <v>5.4483541430192961E-2</v>
      </c>
    </row>
    <row r="236" spans="1:11" ht="14.5" x14ac:dyDescent="0.25">
      <c r="A236" s="22">
        <v>88</v>
      </c>
      <c r="B236" s="23" t="s">
        <v>473</v>
      </c>
      <c r="C236" s="23" t="s">
        <v>379</v>
      </c>
      <c r="D236" s="23" t="s">
        <v>474</v>
      </c>
      <c r="E236" s="23" t="s">
        <v>283</v>
      </c>
      <c r="F236" s="23">
        <f>IFERROR(VLOOKUP(B236,[1]Sheet1!A:B,2,0),0)</f>
        <v>0</v>
      </c>
      <c r="G236" s="23">
        <f>IFERROR(VLOOKUP(B236,[1]Sheet1!A:E,5,0),0)</f>
        <v>0</v>
      </c>
      <c r="H236" s="23">
        <f>IFERROR(VLOOKUP(B236,[1]Sheet1!A:E,4,0),0)</f>
        <v>60</v>
      </c>
      <c r="I236" s="23">
        <f t="shared" si="8"/>
        <v>60</v>
      </c>
      <c r="J236" s="23">
        <v>1641</v>
      </c>
      <c r="K236" s="24">
        <f t="shared" si="9"/>
        <v>0.43875685557586835</v>
      </c>
    </row>
    <row r="237" spans="1:11" ht="14.5" x14ac:dyDescent="0.25">
      <c r="A237" s="22">
        <v>126</v>
      </c>
      <c r="B237" s="23" t="s">
        <v>475</v>
      </c>
      <c r="C237" s="23" t="s">
        <v>385</v>
      </c>
      <c r="D237" s="23" t="s">
        <v>476</v>
      </c>
      <c r="E237" s="23" t="s">
        <v>295</v>
      </c>
      <c r="F237" s="23">
        <f>IFERROR(VLOOKUP(B237,[1]Sheet1!A:B,2,0),0)</f>
        <v>0</v>
      </c>
      <c r="G237" s="23">
        <f>IFERROR(VLOOKUP(B237,[1]Sheet1!A:E,5,0),0)</f>
        <v>0</v>
      </c>
      <c r="H237" s="23">
        <f>IFERROR(VLOOKUP(B237,[1]Sheet1!A:E,4,0),0)</f>
        <v>37</v>
      </c>
      <c r="I237" s="23">
        <f t="shared" si="8"/>
        <v>37</v>
      </c>
      <c r="J237" s="23">
        <v>1474</v>
      </c>
      <c r="K237" s="24">
        <f t="shared" si="9"/>
        <v>0.3012211668928087</v>
      </c>
    </row>
    <row r="238" spans="1:11" ht="14.5" x14ac:dyDescent="0.25">
      <c r="A238" s="22">
        <v>55</v>
      </c>
      <c r="B238" s="23" t="s">
        <v>477</v>
      </c>
      <c r="C238" s="23" t="s">
        <v>373</v>
      </c>
      <c r="D238" s="23" t="s">
        <v>478</v>
      </c>
      <c r="E238" s="23" t="s">
        <v>234</v>
      </c>
      <c r="F238" s="23">
        <f>IFERROR(VLOOKUP(B238,[1]Sheet1!A:B,2,0),0)</f>
        <v>0</v>
      </c>
      <c r="G238" s="23">
        <f>IFERROR(VLOOKUP(B238,[1]Sheet1!A:E,5,0),0)</f>
        <v>0</v>
      </c>
      <c r="H238" s="23">
        <f>IFERROR(VLOOKUP(B238,[1]Sheet1!A:E,4,0),0)</f>
        <v>0</v>
      </c>
      <c r="I238" s="23">
        <f t="shared" si="8"/>
        <v>0</v>
      </c>
      <c r="J238" s="23">
        <v>805</v>
      </c>
      <c r="K238" s="24">
        <f t="shared" si="9"/>
        <v>0</v>
      </c>
    </row>
    <row r="239" spans="1:11" ht="14.5" x14ac:dyDescent="0.25">
      <c r="A239" s="22">
        <v>189</v>
      </c>
      <c r="B239" s="23" t="s">
        <v>479</v>
      </c>
      <c r="C239" s="23" t="s">
        <v>413</v>
      </c>
      <c r="D239" s="23" t="s">
        <v>480</v>
      </c>
      <c r="E239" s="23" t="s">
        <v>346</v>
      </c>
      <c r="F239" s="23">
        <f>IFERROR(VLOOKUP(B239,[1]Sheet1!A:B,2,0),0)</f>
        <v>0</v>
      </c>
      <c r="G239" s="23">
        <f>IFERROR(VLOOKUP(B239,[1]Sheet1!A:E,5,0),0)</f>
        <v>0</v>
      </c>
      <c r="H239" s="23">
        <f>IFERROR(VLOOKUP(B239,[1]Sheet1!A:E,4,0),0)</f>
        <v>1</v>
      </c>
      <c r="I239" s="23">
        <f>G239+H239</f>
        <v>1</v>
      </c>
      <c r="J239" s="23">
        <v>590</v>
      </c>
      <c r="K239" s="24">
        <f>I239/(J239/12)</f>
        <v>2.033898305084746E-2</v>
      </c>
    </row>
    <row r="240" spans="1:11" ht="14.5" x14ac:dyDescent="0.25">
      <c r="A240" s="22">
        <v>68</v>
      </c>
      <c r="B240" s="23" t="s">
        <v>481</v>
      </c>
      <c r="C240" s="23" t="s">
        <v>373</v>
      </c>
      <c r="D240" s="23" t="s">
        <v>482</v>
      </c>
      <c r="E240" s="23" t="s">
        <v>351</v>
      </c>
      <c r="F240" s="23">
        <f>IFERROR(VLOOKUP(B240,[1]Sheet1!A:B,2,0),0)</f>
        <v>0</v>
      </c>
      <c r="G240" s="23">
        <f>IFERROR(VLOOKUP(B240,[1]Sheet1!A:E,5,0),0)</f>
        <v>0</v>
      </c>
      <c r="H240" s="23">
        <f>IFERROR(VLOOKUP(B240,[1]Sheet1!A:E,4,0),0)</f>
        <v>0</v>
      </c>
      <c r="I240" s="23">
        <f>G240+H240</f>
        <v>0</v>
      </c>
      <c r="J240" s="23">
        <v>4506</v>
      </c>
      <c r="K240" s="24">
        <f>I240/(J240/12)</f>
        <v>0</v>
      </c>
    </row>
    <row r="241" spans="1:11" ht="14.5" x14ac:dyDescent="0.25">
      <c r="A241" s="22">
        <v>165</v>
      </c>
      <c r="B241" s="23" t="s">
        <v>483</v>
      </c>
      <c r="C241" s="23" t="s">
        <v>403</v>
      </c>
      <c r="D241" s="23" t="s">
        <v>484</v>
      </c>
      <c r="E241" s="23" t="s">
        <v>145</v>
      </c>
      <c r="F241" s="23">
        <f>IFERROR(VLOOKUP(B241,[1]Sheet1!A:B,2,0),0)</f>
        <v>0</v>
      </c>
      <c r="G241" s="23">
        <f>IFERROR(VLOOKUP(B241,[1]Sheet1!A:E,5,0),0)</f>
        <v>0</v>
      </c>
      <c r="H241" s="23">
        <f>IFERROR(VLOOKUP(B241,[1]Sheet1!A:E,4,0),0)</f>
        <v>93</v>
      </c>
      <c r="I241" s="23">
        <f>G241+H241</f>
        <v>93</v>
      </c>
      <c r="J241" s="23">
        <v>2522</v>
      </c>
      <c r="K241" s="24">
        <f>I241/(J241/12)</f>
        <v>0.44250594766058687</v>
      </c>
    </row>
  </sheetData>
  <autoFilter ref="A1:K1"/>
  <phoneticPr fontId="3" type="noConversion"/>
  <conditionalFormatting sqref="F202:I223 F227:J230 F1:J201">
    <cfRule type="cellIs" dxfId="19" priority="8" operator="equal">
      <formula>0</formula>
    </cfRule>
  </conditionalFormatting>
  <conditionalFormatting sqref="J202">
    <cfRule type="cellIs" dxfId="17" priority="7" operator="equal">
      <formula>0</formula>
    </cfRule>
  </conditionalFormatting>
  <conditionalFormatting sqref="F1:I1">
    <cfRule type="duplicateValues" dxfId="15" priority="9"/>
  </conditionalFormatting>
  <conditionalFormatting sqref="J1">
    <cfRule type="duplicateValues" dxfId="13" priority="6"/>
  </conditionalFormatting>
  <conditionalFormatting sqref="K1">
    <cfRule type="duplicateValues" dxfId="11" priority="10"/>
  </conditionalFormatting>
  <conditionalFormatting sqref="F231:J231">
    <cfRule type="cellIs" dxfId="9" priority="5" operator="equal">
      <formula>0</formula>
    </cfRule>
  </conditionalFormatting>
  <conditionalFormatting sqref="F232:J232">
    <cfRule type="cellIs" dxfId="7" priority="4" operator="equal">
      <formula>0</formula>
    </cfRule>
  </conditionalFormatting>
  <conditionalFormatting sqref="F233:J233">
    <cfRule type="cellIs" dxfId="5" priority="3" operator="equal">
      <formula>0</formula>
    </cfRule>
  </conditionalFormatting>
  <conditionalFormatting sqref="F234:J235">
    <cfRule type="cellIs" dxfId="3" priority="2" operator="equal">
      <formula>0</formula>
    </cfRule>
  </conditionalFormatting>
  <conditionalFormatting sqref="F236:J241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Wu, Yang (Y.)</cp:lastModifiedBy>
  <dcterms:created xsi:type="dcterms:W3CDTF">2023-04-17T00:41:31Z</dcterms:created>
  <dcterms:modified xsi:type="dcterms:W3CDTF">2025-05-06T01:29:12Z</dcterms:modified>
</cp:coreProperties>
</file>